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Cic 50%" sheetId="2" r:id="rId5"/>
  </sheets>
  <definedNames>
    <definedName name="_Order1">255</definedName>
    <definedName name="_Order2">255</definedName>
    <definedName name="ll">#REF!</definedName>
    <definedName localSheetId="0" name="Codes">#REF!</definedName>
    <definedName localSheetId="1" name="dsdsd">#REF!</definedName>
    <definedName name="retertret">#REF!</definedName>
    <definedName name="sas">#REF!</definedName>
    <definedName name="opp">#REF!</definedName>
    <definedName name="qwqweqwqw">#REF!</definedName>
    <definedName name="retretretretretre">#REF!</definedName>
    <definedName name="sdd">#REF!</definedName>
    <definedName name="iuiuiui">#REF!</definedName>
    <definedName name="oioioioio">#REF!</definedName>
    <definedName name="rtretret">#REF!</definedName>
    <definedName name="tyytry">#REF!</definedName>
    <definedName name="ioioio">#REF!</definedName>
    <definedName name="aass">#REF!</definedName>
    <definedName localSheetId="1" name="asasas">#REF!</definedName>
    <definedName name="qwe">#REF!</definedName>
    <definedName name="opopopop">#REF!</definedName>
    <definedName name="p">#REF!</definedName>
    <definedName name="ssee">#REF!</definedName>
    <definedName name="yutuytutyuty">#REF!</definedName>
    <definedName name="Key">#REF!</definedName>
    <definedName name="ioioioooo">#REF!</definedName>
    <definedName name="tytrytrytrytrytr">#REF!</definedName>
    <definedName name="lklklkl">#REF!</definedName>
    <definedName name="pu">#REF!</definedName>
    <definedName name="pppp">#REF!</definedName>
    <definedName name="aqa">#REF!</definedName>
    <definedName name="kikikik">#REF!</definedName>
    <definedName name="klklklklk">#REF!</definedName>
    <definedName name="fgdfvddd">#REF!</definedName>
    <definedName name="kikik">#REF!</definedName>
    <definedName name="yuu">#REF!</definedName>
    <definedName localSheetId="1" name="cvbccxzcxzc">#REF!</definedName>
    <definedName name="jessyca">#REF!</definedName>
    <definedName name="oo">#REF!</definedName>
    <definedName name="zxzxz">#REF!</definedName>
    <definedName name="_oii">#REF!</definedName>
    <definedName name="lçlçlçlçlçlçl">#REF!</definedName>
    <definedName name="uyuyuy">#REF!</definedName>
    <definedName localSheetId="0" name="dsdsd">#REF!</definedName>
    <definedName name="ooo">#REF!</definedName>
    <definedName name="çlll">#REF!</definedName>
    <definedName name="zzzz">#REF!</definedName>
    <definedName localSheetId="1" name="vvggjh">#REF!</definedName>
    <definedName name="ppppp">#REF!</definedName>
    <definedName name="rtretr">#REF!</definedName>
    <definedName name="yu">#REF!</definedName>
    <definedName name="nnnb">#REF!</definedName>
    <definedName name="aaaaaaaaaaaa">#REF!</definedName>
    <definedName name="asass">#REF!</definedName>
    <definedName name="vvggjh">#REF!</definedName>
    <definedName name="nao">#REF!</definedName>
    <definedName name="bnbmnbmnbmnbmnbm">#REF!</definedName>
    <definedName name="cvbccxzcxzc">#REF!</definedName>
    <definedName name="ass">#REF!</definedName>
    <definedName name="tytyt">#REF!</definedName>
    <definedName name="tryrtytry">#REF!</definedName>
    <definedName name="aaa">#REF!</definedName>
    <definedName name="uioioio">#REF!</definedName>
    <definedName name="ghhhhh">#REF!</definedName>
    <definedName localSheetId="0" name="VIN">#REF!</definedName>
    <definedName name="asaaasq">#REF!</definedName>
    <definedName name="tyty">#REF!</definedName>
    <definedName name="uiuop">#REF!</definedName>
    <definedName name="llkkk">#REF!</definedName>
    <definedName name="tyytyty">#REF!</definedName>
    <definedName name="aaaaaaaaaaaaaaaaaaaaaaaaaaaaaaaaaa">#REF!</definedName>
    <definedName name="sss">#REF!</definedName>
    <definedName name="asdfsf">#REF!</definedName>
    <definedName name="ke">#REF!</definedName>
    <definedName name="jp">#REF!</definedName>
    <definedName name="hhhhhhhhhhhhhhhhh">#REF!</definedName>
    <definedName name="sssssssssssssssss">#REF!</definedName>
    <definedName name="qwqewqe">#REF!</definedName>
    <definedName name="lçlçlçççç">#REF!</definedName>
    <definedName name="trtrt">#REF!</definedName>
    <definedName name="wqw">#REF!</definedName>
    <definedName name="zzzzzzzzzzzzzz">#REF!</definedName>
    <definedName name="asasas">#REF!</definedName>
    <definedName name="ppppppp">#REF!</definedName>
    <definedName name="qww">#REF!</definedName>
    <definedName name="pp">#REF!</definedName>
    <definedName name="hjhjhj">#REF!</definedName>
    <definedName name="aaaa">#REF!</definedName>
    <definedName name="weewewe">#REF!</definedName>
    <definedName name="rtretretre">#REF!</definedName>
    <definedName name="loo">#REF!</definedName>
    <definedName name="_Key1">#REF!</definedName>
    <definedName name="x">#REF!</definedName>
    <definedName name="oioii">#REF!</definedName>
    <definedName name="dsdsww">#REF!</definedName>
    <definedName name="gfhgh">#REF!</definedName>
    <definedName localSheetId="0" name="cxcxc">#REF!</definedName>
    <definedName name="klklkll">#REF!</definedName>
    <definedName name="asasdd">#REF!</definedName>
    <definedName name="wewewerr">#REF!</definedName>
    <definedName name="Print_Area2">#REF!</definedName>
    <definedName name="u">#REF!</definedName>
    <definedName name="vbcbvcbvcbvcbvcbvcbvcbvcbcbvcb">#REF!</definedName>
    <definedName name="hhj">#REF!</definedName>
    <definedName name="sssssssssssss">#REF!</definedName>
    <definedName name="oppopopop">#REF!</definedName>
    <definedName name="kyky">#REF!</definedName>
    <definedName name="ghghgh">#REF!</definedName>
    <definedName name="yuuu">#REF!</definedName>
    <definedName localSheetId="0" name="vvggjh">#REF!</definedName>
    <definedName localSheetId="1" name="aa">#REF!</definedName>
    <definedName name="zxx">#REF!</definedName>
    <definedName name="la">#REF!</definedName>
    <definedName name="zzz">#REF!</definedName>
    <definedName localSheetId="1" name="weewewe">#REF!</definedName>
    <definedName localSheetId="0" name="cvbccxzcxzc">#REF!</definedName>
    <definedName name="kiki">#REF!</definedName>
    <definedName name="cccccccccccccccccc">#REF!</definedName>
    <definedName name="xxxxxxxxxxxxxxxxxx">#REF!</definedName>
    <definedName name="nmmnm">#REF!</definedName>
    <definedName name="ppp">#REF!</definedName>
    <definedName name="dsdsd">#REF!</definedName>
    <definedName name="hjhj">#REF!</definedName>
    <definedName name="popop">#REF!</definedName>
    <definedName name="keys">#REF!</definedName>
    <definedName name="xcxcxcxc">#REF!</definedName>
    <definedName name="zxz">#REF!</definedName>
    <definedName name="yuuuuu">#REF!</definedName>
    <definedName name="aa">#REF!</definedName>
    <definedName name="xzzx">#REF!</definedName>
    <definedName name="hhhyyy">#REF!</definedName>
    <definedName localSheetId="1" name="asasasasas">#REF!</definedName>
    <definedName name="gggggggggggggggg">#REF!</definedName>
    <definedName localSheetId="0" name="aa">#REF!</definedName>
    <definedName name="kkkkkkkkkkkkkkkkkkkkkkkkkkkkkkkkk">#REF!</definedName>
    <definedName name="wwwwwwwwwwww">#REF!</definedName>
    <definedName name="all">#REF!</definedName>
    <definedName localSheetId="1" name="cxcxc">#REF!</definedName>
    <definedName name="keyo">#REF!</definedName>
    <definedName localSheetId="0" name="wewewerr">#REF!</definedName>
    <definedName name="mmmmmmmmm">#REF!</definedName>
    <definedName name="sasasas">#REF!</definedName>
    <definedName name="sortt">#REF!</definedName>
    <definedName name="cxcxc">#REF!</definedName>
    <definedName name="yyyyd">#REF!</definedName>
    <definedName name="fgg">#REF!</definedName>
    <definedName name="ppiiuo">#REF!</definedName>
    <definedName name="Codes">#REF!</definedName>
    <definedName name="yy">#REF!</definedName>
    <definedName name="sadsadsad">#REF!</definedName>
    <definedName name="asasasasas">#REF!</definedName>
    <definedName name="qwert">#REF!</definedName>
    <definedName name="opiopopi">#REF!</definedName>
    <definedName name="IssuesPrintArea">#REF!</definedName>
    <definedName name="keyy">#REF!</definedName>
    <definedName name="mmm">#REF!</definedName>
    <definedName localSheetId="0" name="weewewe">#REF!</definedName>
    <definedName name="llllll">#REF!</definedName>
    <definedName name="_Sort">#REF!</definedName>
    <definedName name="z">#REF!</definedName>
    <definedName name="jjjjjjjjjjjjs">#REF!</definedName>
    <definedName name="ioioioi">#REF!</definedName>
    <definedName name="nbnbnb">#REF!</definedName>
    <definedName name="frrrrrrrr">#REF!</definedName>
    <definedName name="_Key2">#REF!</definedName>
    <definedName name="rtrtrtrtr">#REF!</definedName>
    <definedName name="ppppo">#REF!</definedName>
    <definedName name="wewewewe">#REF!</definedName>
    <definedName localSheetId="0" name="_Sort">#REF!</definedName>
    <definedName name="gggfff">#REF!</definedName>
    <definedName name="wqewqewe">#REF!</definedName>
    <definedName name="tyrytytry">#REF!</definedName>
    <definedName name="sasasasasasasasas">#REF!</definedName>
    <definedName localSheetId="1" name="_Sort">#REF!</definedName>
    <definedName name="iiuiiu">#REF!</definedName>
    <definedName name="ppç">#REF!</definedName>
    <definedName name="ewrewrewr">#REF!</definedName>
    <definedName name="rtrtrtrtrt">#REF!</definedName>
    <definedName name="_key">#REF!</definedName>
    <definedName name="ki">#REF!</definedName>
    <definedName localSheetId="1" name="asaaasq">#REF!</definedName>
    <definedName name="iki">#REF!</definedName>
    <definedName name="kkkkkkkkkk">#REF!</definedName>
    <definedName name="uiuiuiu">#REF!</definedName>
    <definedName name="io">#REF!</definedName>
    <definedName name="yyy">#REF!</definedName>
    <definedName localSheetId="1" name="wewewerr">#REF!</definedName>
    <definedName name="Cic">#REF!</definedName>
    <definedName name="yuuyuy">#REF!</definedName>
    <definedName name="trtyty">#REF!</definedName>
    <definedName name="kk">#REF!</definedName>
    <definedName name="llkl">#REF!</definedName>
    <definedName name="nmnmmnmmnm">#REF!</definedName>
    <definedName name="qwwqwq">#REF!</definedName>
    <definedName name="ooooo">#REF!</definedName>
    <definedName name="uiuiuuuuu">#REF!</definedName>
    <definedName name="VIN">#REF!</definedName>
    <definedName name="keyyuo">#REF!</definedName>
    <definedName name="yuyuyu">#REF!</definedName>
    <definedName name="oi">#REF!</definedName>
    <definedName name="qweertrytrhghngfhgfhfg">#REF!</definedName>
    <definedName name="qwq">#REF!</definedName>
    <definedName name="ffgg">#REF!</definedName>
    <definedName name="uyu">#REF!</definedName>
  </definedNames>
  <calcPr/>
  <extLst>
    <ext uri="GoogleSheetsCustomDataVersion2">
      <go:sheetsCustomData xmlns:go="http://customooxmlschemas.google.com/" r:id="rId6" roundtripDataChecksum="EDqDxvRbc+yPlJFxHcn69Ds78FdB2S2+D0MdfDu+0G0="/>
    </ext>
  </extLst>
</workbook>
</file>

<file path=xl/sharedStrings.xml><?xml version="1.0" encoding="utf-8"?>
<sst xmlns="http://schemas.openxmlformats.org/spreadsheetml/2006/main" count="102" uniqueCount="75">
  <si>
    <t xml:space="preserve">INSTITUTO DE TECNOLOGIA EDSON MORORÓ MOURA - ITEMM 
COMPLEXO LABORATORIAL ITEMM - CLI
LABORATÓRIO ELÉTRICO                                              
</t>
  </si>
  <si>
    <t>RELATÓRIO Nº:</t>
  </si>
  <si>
    <t>ITM_25/</t>
  </si>
  <si>
    <t>Recebimento dos itens:</t>
  </si>
  <si>
    <t>Dia-Mês-Ano</t>
  </si>
  <si>
    <t>Testes iniciados em:</t>
  </si>
  <si>
    <t>Endereço: Rua José Vieira de Souza - Bairro: Edson Mororó Moura                                                                                                                                             Nº 275, Belo Jardim - PE - CEP:55150-550. Tel.: (81) 3411-4103</t>
  </si>
  <si>
    <t>Testes finalizados em:</t>
  </si>
  <si>
    <t>Emissão do relatório:</t>
  </si>
  <si>
    <t>RELATÓRIO DE ENSAIO</t>
  </si>
  <si>
    <t>Pág:</t>
  </si>
  <si>
    <t>SOLICITANTE:</t>
  </si>
  <si>
    <t>Instituição:</t>
  </si>
  <si>
    <t>ITEMM</t>
  </si>
  <si>
    <t>Contato:</t>
  </si>
  <si>
    <t>Grace Rocha</t>
  </si>
  <si>
    <t>Projeto:</t>
  </si>
  <si>
    <t>*Tipo do projeto (Ex: Tempo de Cura)</t>
  </si>
  <si>
    <t>DESCRIÇÃO DO ITEM OU AMOSTRA:</t>
  </si>
  <si>
    <t xml:space="preserve">Quantidade </t>
  </si>
  <si>
    <t>Modelo</t>
  </si>
  <si>
    <t>Cap Nominal (Ah)</t>
  </si>
  <si>
    <t>Tensão Nominal (V)</t>
  </si>
  <si>
    <t>*</t>
  </si>
  <si>
    <t>Descrição</t>
  </si>
  <si>
    <t>*Descrição</t>
  </si>
  <si>
    <t>OBJETIVO DOS TESTES:</t>
  </si>
  <si>
    <t>*Objetivo</t>
  </si>
  <si>
    <t>IDENTIFICAÇÃO DO MÉTODO DE ENSAIO:</t>
  </si>
  <si>
    <t>*Mais detalhes do método utilizado</t>
  </si>
  <si>
    <t>Equipamento</t>
  </si>
  <si>
    <t>Fabricante</t>
  </si>
  <si>
    <t>Identificação</t>
  </si>
  <si>
    <t>CONDIÇÕES AMBIENTAIS:</t>
  </si>
  <si>
    <t>Local da realização dos ensaios: X</t>
  </si>
  <si>
    <t>Temperatura: X</t>
  </si>
  <si>
    <t>Umidade: X</t>
  </si>
  <si>
    <t>RESPONSÁVEL:</t>
  </si>
  <si>
    <t>William Pinheiro Silva
Supervisor do Laboratório</t>
  </si>
  <si>
    <t xml:space="preserve">Os resultados deste relatório referem-se exclusivamente aos itens ensaiados. </t>
  </si>
  <si>
    <t>Cópias deste relatório só tem validade se forem integrais; reproduções parciais só tem validade com aprovação específica do CLI.</t>
  </si>
  <si>
    <t>ITM_24 /</t>
  </si>
  <si>
    <t>ITM_25 /</t>
  </si>
  <si>
    <t xml:space="preserve">   Resultados dos Itens Ensaiados:</t>
  </si>
  <si>
    <t>Ciclos com 50% DoD @25°C: Pré-Ciclagem</t>
  </si>
  <si>
    <t>Data</t>
  </si>
  <si>
    <t>Am 03 (Tipo 1)</t>
  </si>
  <si>
    <t>Am 04 (Tipo 1)</t>
  </si>
  <si>
    <t>Am 15 (Tipo 2)</t>
  </si>
  <si>
    <t>Am 16 (Tipo 2)</t>
  </si>
  <si>
    <t>Recarga complementar</t>
  </si>
  <si>
    <t>Ah Carga</t>
  </si>
  <si>
    <t>Capacidade Nominal
1º C20</t>
  </si>
  <si>
    <r>
      <rPr>
        <rFont val="Arial"/>
        <color theme="1"/>
        <sz val="10.0"/>
      </rPr>
      <t xml:space="preserve">C20 </t>
    </r>
    <r>
      <rPr>
        <rFont val="Symbol"/>
        <color theme="1"/>
        <sz val="10.0"/>
      </rPr>
      <t>³</t>
    </r>
  </si>
  <si>
    <t>Tempo Desc</t>
  </si>
  <si>
    <t>Carga Pós DCH Profunda</t>
  </si>
  <si>
    <r>
      <rPr>
        <rFont val="Arial"/>
        <color theme="1"/>
        <sz val="9.0"/>
      </rPr>
      <t xml:space="preserve">Corrente (1min) </t>
    </r>
    <r>
      <rPr>
        <rFont val="Calibri"/>
        <color theme="1"/>
        <sz val="9.0"/>
      </rPr>
      <t>≥</t>
    </r>
  </si>
  <si>
    <t>Corrente (5min) ≥</t>
  </si>
  <si>
    <t>Carga: 5xI20 - 2,667V - 24h</t>
  </si>
  <si>
    <t>Corrente (10min) ≥</t>
  </si>
  <si>
    <t>Capacidade Nominal
2º C20</t>
  </si>
  <si>
    <r>
      <rPr>
        <rFont val="Arial"/>
        <color theme="1"/>
        <sz val="10.0"/>
      </rPr>
      <t xml:space="preserve">C20 </t>
    </r>
    <r>
      <rPr>
        <rFont val="Symbol"/>
        <color theme="1"/>
        <sz val="10.0"/>
      </rPr>
      <t>³</t>
    </r>
  </si>
  <si>
    <r>
      <rPr>
        <rFont val="Arial"/>
        <b/>
        <color theme="1"/>
        <sz val="10.0"/>
      </rPr>
      <t xml:space="preserve">1º CCA @-18ºC    EN/DIN
</t>
    </r>
    <r>
      <rPr>
        <rFont val="Arial"/>
        <b val="0"/>
        <color theme="1"/>
        <sz val="8.0"/>
      </rPr>
      <t>(EN50342-1 2015)</t>
    </r>
  </si>
  <si>
    <r>
      <rPr>
        <rFont val="Arial"/>
        <color theme="1"/>
        <sz val="10.0"/>
      </rPr>
      <t>I_</t>
    </r>
    <r>
      <rPr>
        <rFont val="Arial"/>
        <color theme="1"/>
        <sz val="8.0"/>
      </rPr>
      <t>EN</t>
    </r>
    <r>
      <rPr>
        <rFont val="Arial"/>
        <color theme="1"/>
        <sz val="10.0"/>
      </rPr>
      <t xml:space="preserve"> (A)</t>
    </r>
  </si>
  <si>
    <r>
      <rPr>
        <rFont val="Arial"/>
        <color theme="1"/>
        <sz val="10.0"/>
      </rPr>
      <t>I_</t>
    </r>
    <r>
      <rPr>
        <rFont val="Arial"/>
        <color theme="1"/>
        <sz val="8.0"/>
      </rPr>
      <t>DIN</t>
    </r>
    <r>
      <rPr>
        <rFont val="Arial"/>
        <color theme="1"/>
        <sz val="10.0"/>
      </rPr>
      <t xml:space="preserve"> (A)</t>
    </r>
  </si>
  <si>
    <r>
      <rPr>
        <rFont val="Arial"/>
        <color theme="1"/>
        <sz val="10.0"/>
      </rPr>
      <t xml:space="preserve">(V) 10seg </t>
    </r>
    <r>
      <rPr>
        <rFont val="Symbol"/>
        <color theme="1"/>
        <sz val="10.0"/>
      </rPr>
      <t>³</t>
    </r>
    <r>
      <rPr>
        <rFont val="Arial"/>
        <color theme="1"/>
        <sz val="10.0"/>
      </rPr>
      <t xml:space="preserve"> </t>
    </r>
  </si>
  <si>
    <t>7,5V</t>
  </si>
  <si>
    <r>
      <rPr>
        <rFont val="Arial"/>
        <color theme="1"/>
        <sz val="10.0"/>
      </rPr>
      <t xml:space="preserve">(V) 40seg </t>
    </r>
    <r>
      <rPr>
        <rFont val="Symbol"/>
        <color theme="1"/>
        <sz val="10.0"/>
      </rPr>
      <t>³</t>
    </r>
    <r>
      <rPr>
        <rFont val="Arial"/>
        <color theme="1"/>
        <sz val="10.0"/>
      </rPr>
      <t xml:space="preserve"> </t>
    </r>
  </si>
  <si>
    <t>9V</t>
  </si>
  <si>
    <t>(V) 90seg</t>
  </si>
  <si>
    <t>(V) 120seg</t>
  </si>
  <si>
    <r>
      <rPr>
        <rFont val="Arial"/>
        <color theme="1"/>
        <sz val="12.0"/>
      </rPr>
      <t>t'</t>
    </r>
    <r>
      <rPr>
        <rFont val="Arial"/>
        <color theme="1"/>
        <sz val="8.0"/>
      </rPr>
      <t>6V</t>
    </r>
    <r>
      <rPr>
        <rFont val="Arial"/>
        <color theme="1"/>
        <sz val="10.0"/>
      </rPr>
      <t xml:space="preserve"> (I_</t>
    </r>
    <r>
      <rPr>
        <rFont val="Arial"/>
        <color theme="1"/>
        <sz val="8.0"/>
      </rPr>
      <t>DIN</t>
    </r>
    <r>
      <rPr>
        <rFont val="Arial"/>
        <color theme="1"/>
        <sz val="10.0"/>
      </rPr>
      <t>) (seg)</t>
    </r>
  </si>
  <si>
    <r>
      <rPr>
        <rFont val="Arial"/>
        <color theme="1"/>
        <sz val="10.0"/>
      </rPr>
      <t xml:space="preserve"> </t>
    </r>
    <r>
      <rPr>
        <rFont val="Arial"/>
        <color theme="1"/>
        <sz val="12.0"/>
      </rPr>
      <t>t</t>
    </r>
    <r>
      <rPr>
        <rFont val="Arial"/>
        <color theme="1"/>
        <sz val="8.0"/>
      </rPr>
      <t>6V</t>
    </r>
    <r>
      <rPr>
        <rFont val="Arial"/>
        <color theme="1"/>
        <sz val="10.0"/>
      </rPr>
      <t xml:space="preserve"> (tempo de descarga calculado) (seg) ≥ 90 seg</t>
    </r>
  </si>
  <si>
    <t>Carga: 5xI20 - 16V - 16h</t>
  </si>
  <si>
    <t>Ah Recarga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</si>
</sst>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"/>
    <numFmt numFmtId="165" formatCode="[$-416]d\-mmm\-yy"/>
    <numFmt numFmtId="166" formatCode="[$-F400]h:mm:ss\ AM/PM"/>
    <numFmt numFmtId="167" formatCode="0.0"/>
  </numFmts>
  <fonts count="22">
    <font>
      <sz val="11.0"/>
      <color theme="1"/>
      <name val="Calibri"/>
      <scheme val="minor"/>
    </font>
    <font>
      <sz val="13.0"/>
      <color theme="1"/>
      <name val="Calibri"/>
    </font>
    <font>
      <b/>
      <sz val="13.0"/>
      <color theme="1"/>
      <name val="Calibri"/>
    </font>
    <font/>
    <font>
      <b/>
      <u/>
      <sz val="14.0"/>
      <color rgb="FF003399"/>
      <name val="Calibri"/>
    </font>
    <font>
      <b/>
      <sz val="15.0"/>
      <color rgb="FF003399"/>
      <name val="Calibri"/>
    </font>
    <font>
      <sz val="10.0"/>
      <color theme="1"/>
      <name val="Calibri"/>
    </font>
    <font>
      <b/>
      <sz val="16.0"/>
      <color theme="1"/>
      <name val="Arial"/>
    </font>
    <font>
      <sz val="11.0"/>
      <color theme="1"/>
      <name val="Calibri"/>
    </font>
    <font>
      <sz val="14.0"/>
      <color rgb="FF0070C0"/>
      <name val="Marlett"/>
    </font>
    <font>
      <b/>
      <sz val="12.0"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8.0"/>
      <color theme="1"/>
      <name val="Calibri"/>
    </font>
    <font>
      <sz val="10.0"/>
      <color rgb="FF006600"/>
      <name val="Arial"/>
    </font>
    <font>
      <sz val="9.0"/>
      <color theme="1"/>
      <name val="Arial"/>
    </font>
    <font>
      <sz val="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</fills>
  <borders count="6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/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right/>
      <top style="medium">
        <color rgb="FF000000"/>
      </top>
    </border>
    <border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top" wrapText="1"/>
    </xf>
    <xf borderId="2" fillId="0" fontId="3" numFmtId="0" xfId="0" applyBorder="1" applyFont="1"/>
    <xf borderId="2" fillId="0" fontId="4" numFmtId="0" xfId="0" applyAlignment="1" applyBorder="1" applyFont="1">
      <alignment horizontal="right" shrinkToFit="0" vertical="top" wrapText="1"/>
    </xf>
    <xf borderId="2" fillId="0" fontId="5" numFmtId="0" xfId="0" applyAlignment="1" applyBorder="1" applyFont="1">
      <alignment vertical="top"/>
    </xf>
    <xf borderId="2" fillId="0" fontId="5" numFmtId="164" xfId="0" applyAlignment="1" applyBorder="1" applyFont="1" applyNumberFormat="1">
      <alignment horizontal="left" vertical="top"/>
    </xf>
    <xf borderId="3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center" readingOrder="0" vertical="center"/>
    </xf>
    <xf borderId="3" fillId="0" fontId="6" numFmtId="0" xfId="0" applyAlignment="1" applyBorder="1" applyFont="1">
      <alignment horizontal="left" shrinkToFit="0" wrapText="1"/>
    </xf>
    <xf borderId="3" fillId="0" fontId="3" numFmtId="0" xfId="0" applyBorder="1" applyFont="1"/>
    <xf borderId="0" fillId="0" fontId="6" numFmtId="0" xfId="0" applyAlignment="1" applyFont="1">
      <alignment horizontal="left" shrinkToFit="0" wrapText="1"/>
    </xf>
    <xf borderId="0" fillId="0" fontId="6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6" numFmtId="165" xfId="0" applyAlignment="1" applyFont="1" applyNumberFormat="1">
      <alignment horizontal="right" vertical="center"/>
    </xf>
    <xf borderId="0" fillId="0" fontId="6" numFmtId="1" xfId="0" applyAlignment="1" applyFont="1" applyNumberFormat="1">
      <alignment horizontal="left" vertical="center"/>
    </xf>
    <xf borderId="3" fillId="0" fontId="8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right" vertic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left" shrinkToFit="0" vertical="top" wrapText="1"/>
    </xf>
    <xf borderId="0" fillId="0" fontId="13" numFmtId="0" xfId="0" applyAlignment="1" applyFont="1">
      <alignment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/>
    </xf>
    <xf borderId="4" fillId="2" fontId="14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4" fillId="2" fontId="14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left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15" numFmtId="0" xfId="0" applyAlignment="1" applyFont="1">
      <alignment horizontal="center"/>
    </xf>
    <xf borderId="0" fillId="0" fontId="13" numFmtId="0" xfId="0" applyAlignment="1" applyFont="1">
      <alignment horizontal="left" readingOrder="0" shrinkToFit="0" vertical="center" wrapText="1"/>
    </xf>
    <xf borderId="0" fillId="0" fontId="16" numFmtId="0" xfId="0" applyFont="1"/>
    <xf borderId="1" fillId="2" fontId="13" numFmtId="0" xfId="0" applyAlignment="1" applyBorder="1" applyFont="1">
      <alignment horizontal="center" readingOrder="0" shrinkToFit="0" vertical="center" wrapText="1"/>
    </xf>
    <xf borderId="4" fillId="2" fontId="17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vertical="center"/>
    </xf>
    <xf borderId="0" fillId="0" fontId="13" numFmtId="0" xfId="0" applyAlignment="1" applyFont="1">
      <alignment horizontal="left" shrinkToFit="0" vertical="center" wrapText="1"/>
    </xf>
    <xf borderId="3" fillId="0" fontId="9" numFmtId="0" xfId="0" applyAlignment="1" applyBorder="1" applyFont="1">
      <alignment horizontal="right" vertical="center"/>
    </xf>
    <xf borderId="3" fillId="0" fontId="11" numFmtId="0" xfId="0" applyBorder="1" applyFont="1"/>
    <xf borderId="3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readingOrder="0"/>
    </xf>
    <xf borderId="0" fillId="0" fontId="13" numFmtId="0" xfId="0" applyAlignment="1" applyFont="1">
      <alignment shrinkToFit="0" vertical="center" wrapText="1"/>
    </xf>
    <xf borderId="0" fillId="0" fontId="13" numFmtId="0" xfId="0" applyFont="1"/>
    <xf borderId="0" fillId="0" fontId="10" numFmtId="0" xfId="0" applyAlignment="1" applyFont="1">
      <alignment vertical="center"/>
    </xf>
    <xf borderId="0" fillId="0" fontId="15" numFmtId="0" xfId="0" applyFont="1"/>
    <xf borderId="0" fillId="0" fontId="15" numFmtId="0" xfId="0" applyAlignment="1" applyFont="1">
      <alignment shrinkToFit="0" wrapText="1"/>
    </xf>
    <xf borderId="2" fillId="0" fontId="13" numFmtId="0" xfId="0" applyAlignment="1" applyBorder="1" applyFont="1">
      <alignment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2" fillId="0" fontId="8" numFmtId="0" xfId="0" applyBorder="1" applyFont="1"/>
    <xf borderId="0" fillId="0" fontId="1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6" numFmtId="165" xfId="0" applyAlignment="1" applyFont="1" applyNumberFormat="1">
      <alignment horizontal="center"/>
    </xf>
    <xf borderId="12" fillId="3" fontId="17" numFmtId="0" xfId="0" applyAlignment="1" applyBorder="1" applyFill="1" applyFont="1">
      <alignment horizontal="left"/>
    </xf>
    <xf borderId="12" fillId="3" fontId="8" numFmtId="0" xfId="0" applyBorder="1" applyFont="1"/>
    <xf borderId="13" fillId="4" fontId="14" numFmtId="0" xfId="0" applyAlignment="1" applyBorder="1" applyFill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4" fontId="14" numFmtId="0" xfId="0" applyAlignment="1" applyBorder="1" applyFont="1">
      <alignment horizontal="center"/>
    </xf>
    <xf borderId="16" fillId="4" fontId="14" numFmtId="0" xfId="0" applyAlignment="1" applyBorder="1" applyFont="1">
      <alignment horizontal="center" vertical="center"/>
    </xf>
    <xf borderId="17" fillId="3" fontId="14" numFmtId="0" xfId="0" applyAlignment="1" applyBorder="1" applyFont="1">
      <alignment horizontal="left" shrinkToFit="0" vertical="top" wrapText="1"/>
    </xf>
    <xf borderId="18" fillId="0" fontId="3" numFmtId="0" xfId="0" applyBorder="1" applyFont="1"/>
    <xf borderId="19" fillId="0" fontId="3" numFmtId="0" xfId="0" applyBorder="1" applyFont="1"/>
    <xf borderId="17" fillId="3" fontId="13" numFmtId="0" xfId="0" applyAlignment="1" applyBorder="1" applyFont="1">
      <alignment horizontal="center" shrinkToFit="0" vertical="center" wrapText="1"/>
    </xf>
    <xf borderId="20" fillId="0" fontId="19" numFmtId="14" xfId="0" applyAlignment="1" applyBorder="1" applyFont="1" applyNumberFormat="1">
      <alignment horizontal="center" shrinkToFit="0" vertical="center" wrapText="1"/>
    </xf>
    <xf borderId="21" fillId="5" fontId="13" numFmtId="2" xfId="0" applyAlignment="1" applyBorder="1" applyFill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2" fillId="3" fontId="14" numFmtId="0" xfId="0" applyAlignment="1" applyBorder="1" applyFont="1">
      <alignment horizontal="left" shrinkToFit="0" vertical="top" wrapText="1"/>
    </xf>
    <xf borderId="23" fillId="0" fontId="3" numFmtId="0" xfId="0" applyBorder="1" applyFont="1"/>
    <xf borderId="24" fillId="0" fontId="3" numFmtId="0" xfId="0" applyBorder="1" applyFont="1"/>
    <xf borderId="25" fillId="3" fontId="13" numFmtId="0" xfId="0" applyAlignment="1" applyBorder="1" applyFont="1">
      <alignment horizontal="right" shrinkToFit="0" vertical="center" wrapText="1"/>
    </xf>
    <xf borderId="26" fillId="3" fontId="13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8" fillId="5" fontId="13" numFmtId="2" xfId="0" applyAlignment="1" applyBorder="1" applyFont="1" applyNumberForma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3" fontId="13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34" fillId="0" fontId="3" numFmtId="0" xfId="0" applyBorder="1" applyFont="1"/>
    <xf borderId="35" fillId="5" fontId="13" numFmtId="166" xfId="0" applyAlignment="1" applyBorder="1" applyFont="1" applyNumberFormat="1">
      <alignment horizontal="center" shrinkToFit="0" vertical="center" wrapText="1"/>
    </xf>
    <xf borderId="36" fillId="3" fontId="14" numFmtId="0" xfId="0" applyAlignment="1" applyBorder="1" applyFont="1">
      <alignment horizontal="left" shrinkToFit="0" vertical="top" wrapText="1"/>
    </xf>
    <xf borderId="37" fillId="0" fontId="3" numFmtId="0" xfId="0" applyBorder="1" applyFont="1"/>
    <xf borderId="38" fillId="0" fontId="3" numFmtId="0" xfId="0" applyBorder="1" applyFont="1"/>
    <xf borderId="39" fillId="3" fontId="20" numFmtId="0" xfId="0" applyAlignment="1" applyBorder="1" applyFont="1">
      <alignment horizontal="right" shrinkToFit="0" vertical="center" wrapText="1"/>
    </xf>
    <xf borderId="26" fillId="3" fontId="20" numFmtId="2" xfId="0" applyAlignment="1" applyBorder="1" applyFont="1" applyNumberFormat="1">
      <alignment horizontal="center" shrinkToFit="0" vertical="center" wrapText="1"/>
    </xf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25" fillId="3" fontId="20" numFmtId="0" xfId="0" applyAlignment="1" applyBorder="1" applyFont="1">
      <alignment horizontal="right" shrinkToFit="0" vertical="center" wrapText="1"/>
    </xf>
    <xf borderId="12" fillId="3" fontId="20" numFmtId="2" xfId="0" applyAlignment="1" applyBorder="1" applyFont="1" applyNumberFormat="1">
      <alignment horizontal="center" shrinkToFit="0" vertical="center" wrapText="1"/>
    </xf>
    <xf borderId="43" fillId="5" fontId="13" numFmtId="2" xfId="0" applyAlignment="1" applyBorder="1" applyFont="1" applyNumberFormat="1">
      <alignment horizontal="center" shrinkToFit="0" vertical="center" wrapText="1"/>
    </xf>
    <xf borderId="22" fillId="3" fontId="21" numFmtId="0" xfId="0" applyAlignment="1" applyBorder="1" applyFont="1">
      <alignment horizontal="center" shrinkToFit="0" wrapText="1"/>
    </xf>
    <xf borderId="44" fillId="0" fontId="3" numFmtId="0" xfId="0" applyBorder="1" applyFont="1"/>
    <xf borderId="45" fillId="5" fontId="13" numFmtId="2" xfId="0" applyAlignment="1" applyBorder="1" applyFont="1" applyNumberFormat="1">
      <alignment horizontal="center" shrinkToFit="0" vertical="center" wrapText="1"/>
    </xf>
    <xf borderId="46" fillId="3" fontId="13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48" fillId="5" fontId="13" numFmtId="46" xfId="0" applyAlignment="1" applyBorder="1" applyFont="1" applyNumberFormat="1">
      <alignment horizontal="center" shrinkToFit="0" vertical="center" wrapText="1"/>
    </xf>
    <xf borderId="32" fillId="3" fontId="21" numFmtId="0" xfId="0" applyAlignment="1" applyBorder="1" applyFont="1">
      <alignment horizontal="center" shrinkToFit="0" vertical="top" wrapText="1"/>
    </xf>
    <xf borderId="49" fillId="0" fontId="3" numFmtId="0" xfId="0" applyBorder="1" applyFont="1"/>
    <xf borderId="50" fillId="5" fontId="13" numFmtId="2" xfId="0" applyAlignment="1" applyBorder="1" applyFont="1" applyNumberFormat="1">
      <alignment horizontal="center" shrinkToFit="0" vertical="center" wrapText="1"/>
    </xf>
    <xf borderId="51" fillId="0" fontId="3" numFmtId="0" xfId="0" applyBorder="1" applyFont="1"/>
    <xf borderId="13" fillId="3" fontId="13" numFmtId="0" xfId="0" applyAlignment="1" applyBorder="1" applyFont="1">
      <alignment horizontal="center" shrinkToFit="0" vertical="center" wrapText="1"/>
    </xf>
    <xf borderId="52" fillId="0" fontId="3" numFmtId="0" xfId="0" applyBorder="1" applyFont="1"/>
    <xf borderId="53" fillId="5" fontId="13" numFmtId="2" xfId="0" applyAlignment="1" applyBorder="1" applyFont="1" applyNumberFormat="1">
      <alignment horizontal="center" shrinkToFit="0" vertical="center" wrapText="1"/>
    </xf>
    <xf borderId="54" fillId="0" fontId="3" numFmtId="0" xfId="0" applyBorder="1" applyFont="1"/>
    <xf borderId="55" fillId="0" fontId="3" numFmtId="0" xfId="0" applyBorder="1" applyFont="1"/>
    <xf borderId="56" fillId="3" fontId="13" numFmtId="0" xfId="0" applyAlignment="1" applyBorder="1" applyFont="1">
      <alignment horizontal="center" shrinkToFit="0" vertical="center" wrapText="1"/>
    </xf>
    <xf borderId="57" fillId="0" fontId="3" numFmtId="0" xfId="0" applyBorder="1" applyFont="1"/>
    <xf borderId="58" fillId="5" fontId="13" numFmtId="2" xfId="0" applyAlignment="1" applyBorder="1" applyFont="1" applyNumberFormat="1">
      <alignment horizontal="center" shrinkToFit="0" vertical="center" wrapText="1"/>
    </xf>
    <xf borderId="59" fillId="0" fontId="3" numFmtId="0" xfId="0" applyBorder="1" applyFont="1"/>
    <xf borderId="60" fillId="3" fontId="13" numFmtId="0" xfId="0" applyAlignment="1" applyBorder="1" applyFont="1">
      <alignment horizontal="right" shrinkToFit="0" vertical="center" wrapText="1"/>
    </xf>
    <xf borderId="61" fillId="3" fontId="13" numFmtId="0" xfId="0" applyAlignment="1" applyBorder="1" applyFont="1">
      <alignment horizontal="center" shrinkToFit="0" vertical="center" wrapText="1"/>
    </xf>
    <xf borderId="48" fillId="5" fontId="13" numFmtId="2" xfId="0" applyAlignment="1" applyBorder="1" applyFont="1" applyNumberFormat="1">
      <alignment horizontal="center" shrinkToFit="0" vertical="center" wrapText="1"/>
    </xf>
    <xf borderId="62" fillId="5" fontId="13" numFmtId="2" xfId="0" applyAlignment="1" applyBorder="1" applyFont="1" applyNumberFormat="1">
      <alignment horizontal="center" shrinkToFit="0" vertical="center" wrapText="1"/>
    </xf>
    <xf borderId="46" fillId="3" fontId="14" numFmtId="0" xfId="0" applyAlignment="1" applyBorder="1" applyFont="1">
      <alignment horizontal="center" shrinkToFit="0" vertical="top" wrapText="1"/>
    </xf>
    <xf borderId="63" fillId="0" fontId="3" numFmtId="0" xfId="0" applyBorder="1" applyFont="1"/>
    <xf borderId="64" fillId="3" fontId="13" numFmtId="167" xfId="0" applyAlignment="1" applyBorder="1" applyFont="1" applyNumberFormat="1">
      <alignment horizontal="center" shrinkToFit="0" vertical="center" wrapText="1"/>
    </xf>
    <xf borderId="60" fillId="5" fontId="13" numFmtId="2" xfId="0" applyAlignment="1" applyBorder="1" applyFont="1" applyNumberFormat="1">
      <alignment horizontal="center" shrinkToFit="0" vertical="center" wrapText="1"/>
    </xf>
    <xf borderId="65" fillId="3" fontId="13" numFmtId="0" xfId="0" applyAlignment="1" applyBorder="1" applyFont="1">
      <alignment horizontal="center" shrinkToFit="0" vertical="center" wrapText="1"/>
    </xf>
    <xf borderId="66" fillId="0" fontId="3" numFmtId="0" xfId="0" applyBorder="1" applyFont="1"/>
    <xf borderId="48" fillId="6" fontId="13" numFmtId="2" xfId="0" applyAlignment="1" applyBorder="1" applyFill="1" applyFont="1" applyNumberFormat="1">
      <alignment horizontal="center" shrinkToFit="0" vertical="center" wrapText="1"/>
    </xf>
    <xf borderId="32" fillId="3" fontId="2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-19050</xdr:colOff>
      <xdr:row>9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38100">
            <a:solidFill>
              <a:srgbClr val="003399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28575</xdr:colOff>
      <xdr:row>8</xdr:row>
      <xdr:rowOff>28575</xdr:rowOff>
    </xdr:from>
    <xdr:ext cx="9744075" cy="38100"/>
    <xdr:grpSp>
      <xdr:nvGrpSpPr>
        <xdr:cNvPr id="2" name="Shape 2"/>
        <xdr:cNvGrpSpPr/>
      </xdr:nvGrpSpPr>
      <xdr:grpSpPr>
        <a:xfrm>
          <a:off x="473963" y="3775238"/>
          <a:ext cx="9744075" cy="9525"/>
          <a:chOff x="473963" y="3775238"/>
          <a:chExt cx="9744075" cy="9525"/>
        </a:xfrm>
      </xdr:grpSpPr>
      <xdr:cxnSp>
        <xdr:nvCxnSpPr>
          <xdr:cNvPr id="4" name="Shape 4"/>
          <xdr:cNvCxnSpPr/>
        </xdr:nvCxnSpPr>
        <xdr:spPr>
          <a:xfrm flipH="1" rot="10800000">
            <a:off x="473963" y="3775238"/>
            <a:ext cx="9744075" cy="9525"/>
          </a:xfrm>
          <a:prstGeom prst="straightConnector1">
            <a:avLst/>
          </a:prstGeom>
          <a:noFill/>
          <a:ln cap="flat" cmpd="sng" w="38100">
            <a:solidFill>
              <a:srgbClr val="003399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161925</xdr:colOff>
      <xdr:row>0</xdr:row>
      <xdr:rowOff>57150</xdr:rowOff>
    </xdr:from>
    <xdr:ext cx="93345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14</xdr:row>
      <xdr:rowOff>85725</xdr:rowOff>
    </xdr:from>
    <xdr:ext cx="38100" cy="9525"/>
    <xdr:sp>
      <xdr:nvSpPr>
        <xdr:cNvPr id="5" name="Shape 5"/>
        <xdr:cNvSpPr/>
      </xdr:nvSpPr>
      <xdr:spPr>
        <a:xfrm>
          <a:off x="5341238" y="3775238"/>
          <a:ext cx="9525" cy="9525"/>
        </a:xfrm>
        <a:prstGeom prst="star4">
          <a:avLst>
            <a:gd fmla="val 12500" name="adj"/>
          </a:avLst>
        </a:prstGeom>
        <a:solidFill>
          <a:srgbClr val="003399"/>
        </a:solidFill>
        <a:ln cap="flat" cmpd="sng" w="12700">
          <a:solidFill>
            <a:srgbClr val="00339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28575</xdr:colOff>
      <xdr:row>13</xdr:row>
      <xdr:rowOff>28575</xdr:rowOff>
    </xdr:from>
    <xdr:ext cx="11201400" cy="38100"/>
    <xdr:grpSp>
      <xdr:nvGrpSpPr>
        <xdr:cNvPr id="2" name="Shape 2"/>
        <xdr:cNvGrpSpPr/>
      </xdr:nvGrpSpPr>
      <xdr:grpSpPr>
        <a:xfrm>
          <a:off x="0" y="3775238"/>
          <a:ext cx="10692000" cy="9525"/>
          <a:chOff x="0" y="3775238"/>
          <a:chExt cx="10692000" cy="9525"/>
        </a:xfrm>
      </xdr:grpSpPr>
      <xdr:cxnSp>
        <xdr:nvCxnSpPr>
          <xdr:cNvPr id="6" name="Shape 6"/>
          <xdr:cNvCxnSpPr/>
        </xdr:nvCxnSpPr>
        <xdr:spPr>
          <a:xfrm flipH="1" rot="10800000">
            <a:off x="0" y="3775238"/>
            <a:ext cx="10692000" cy="9525"/>
          </a:xfrm>
          <a:prstGeom prst="straightConnector1">
            <a:avLst/>
          </a:prstGeom>
          <a:noFill/>
          <a:ln cap="flat" cmpd="sng" w="38100">
            <a:solidFill>
              <a:srgbClr val="003399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28575</xdr:colOff>
      <xdr:row>13</xdr:row>
      <xdr:rowOff>28575</xdr:rowOff>
    </xdr:from>
    <xdr:ext cx="11201400" cy="38100"/>
    <xdr:grpSp>
      <xdr:nvGrpSpPr>
        <xdr:cNvPr id="2" name="Shape 2"/>
        <xdr:cNvGrpSpPr/>
      </xdr:nvGrpSpPr>
      <xdr:grpSpPr>
        <a:xfrm>
          <a:off x="0" y="3775238"/>
          <a:ext cx="10692000" cy="9525"/>
          <a:chOff x="0" y="3775238"/>
          <a:chExt cx="10692000" cy="9525"/>
        </a:xfrm>
      </xdr:grpSpPr>
      <xdr:cxnSp>
        <xdr:nvCxnSpPr>
          <xdr:cNvPr id="6" name="Shape 6"/>
          <xdr:cNvCxnSpPr/>
        </xdr:nvCxnSpPr>
        <xdr:spPr>
          <a:xfrm flipH="1" rot="10800000">
            <a:off x="0" y="3775238"/>
            <a:ext cx="10692000" cy="9525"/>
          </a:xfrm>
          <a:prstGeom prst="straightConnector1">
            <a:avLst/>
          </a:prstGeom>
          <a:noFill/>
          <a:ln cap="flat" cmpd="sng" w="38100">
            <a:solidFill>
              <a:srgbClr val="003399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219075</xdr:colOff>
      <xdr:row>33</xdr:row>
      <xdr:rowOff>0</xdr:rowOff>
    </xdr:from>
    <xdr:ext cx="1314450" cy="323850"/>
    <xdr:sp>
      <xdr:nvSpPr>
        <xdr:cNvPr id="7" name="Shape 7"/>
        <xdr:cNvSpPr txBox="1"/>
      </xdr:nvSpPr>
      <xdr:spPr>
        <a:xfrm>
          <a:off x="4693538" y="3621367"/>
          <a:ext cx="1304925" cy="317266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/>
        </a:p>
      </xdr:txBody>
    </xdr:sp>
    <xdr:clientData fLocksWithSheet="0"/>
  </xdr:oneCellAnchor>
  <xdr:oneCellAnchor>
    <xdr:from>
      <xdr:col>0</xdr:col>
      <xdr:colOff>161925</xdr:colOff>
      <xdr:row>0</xdr:row>
      <xdr:rowOff>57150</xdr:rowOff>
    </xdr:from>
    <xdr:ext cx="85725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5</xdr:row>
      <xdr:rowOff>66675</xdr:rowOff>
    </xdr:from>
    <xdr:ext cx="9334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10" width="12.86"/>
    <col customWidth="1" min="11" max="12" width="11.43"/>
    <col customWidth="1" min="13" max="26" width="8.71"/>
  </cols>
  <sheetData>
    <row r="1" ht="18.0" customHeight="1">
      <c r="A1" s="1"/>
      <c r="B1" s="2"/>
      <c r="C1" s="3" t="s">
        <v>0</v>
      </c>
      <c r="D1" s="4"/>
      <c r="E1" s="4"/>
      <c r="F1" s="4"/>
      <c r="G1" s="4"/>
      <c r="H1" s="4"/>
      <c r="I1" s="5" t="s">
        <v>1</v>
      </c>
      <c r="J1" s="4"/>
      <c r="K1" s="6" t="s">
        <v>2</v>
      </c>
      <c r="L1" s="7">
        <v>6.0</v>
      </c>
    </row>
    <row r="2" ht="18.0" customHeight="1">
      <c r="A2" s="8"/>
      <c r="B2" s="9"/>
      <c r="I2" s="10" t="s">
        <v>3</v>
      </c>
      <c r="K2" s="11" t="s">
        <v>4</v>
      </c>
    </row>
    <row r="3" ht="18.0" customHeight="1">
      <c r="A3" s="8"/>
      <c r="B3" s="9"/>
      <c r="I3" s="12" t="s">
        <v>5</v>
      </c>
      <c r="K3" s="13" t="s">
        <v>4</v>
      </c>
    </row>
    <row r="4" ht="15.0" customHeight="1">
      <c r="A4" s="14" t="s">
        <v>6</v>
      </c>
      <c r="I4" s="12" t="s">
        <v>7</v>
      </c>
      <c r="K4" s="13" t="s">
        <v>4</v>
      </c>
    </row>
    <row r="5">
      <c r="A5" s="15"/>
      <c r="I5" s="10" t="s">
        <v>8</v>
      </c>
      <c r="K5" s="13" t="s">
        <v>4</v>
      </c>
    </row>
    <row r="6">
      <c r="A6" s="14"/>
      <c r="B6" s="16"/>
      <c r="C6" s="16"/>
      <c r="D6" s="16"/>
      <c r="E6" s="16"/>
      <c r="F6" s="16"/>
      <c r="G6" s="16"/>
      <c r="H6" s="16"/>
      <c r="I6" s="10"/>
      <c r="J6" s="10"/>
      <c r="K6" s="17"/>
      <c r="L6" s="17"/>
    </row>
    <row r="7">
      <c r="A7" s="14"/>
      <c r="B7" s="16"/>
      <c r="C7" s="16"/>
      <c r="D7" s="16"/>
      <c r="E7" s="18" t="s">
        <v>9</v>
      </c>
      <c r="I7" s="10"/>
      <c r="J7" s="10"/>
      <c r="K7" s="19" t="s">
        <v>10</v>
      </c>
      <c r="L7" s="20">
        <v>1.0</v>
      </c>
    </row>
    <row r="8">
      <c r="A8" s="14"/>
      <c r="B8" s="16"/>
      <c r="C8" s="16"/>
      <c r="D8" s="16"/>
      <c r="I8" s="10"/>
      <c r="J8" s="10"/>
      <c r="K8" s="17"/>
      <c r="L8" s="17"/>
    </row>
    <row r="9">
      <c r="A9" s="21"/>
      <c r="B9" s="22"/>
      <c r="C9" s="22"/>
      <c r="D9" s="22"/>
      <c r="E9" s="22"/>
      <c r="F9" s="22"/>
      <c r="G9" s="22"/>
      <c r="H9" s="22"/>
      <c r="I9" s="10"/>
      <c r="J9" s="10"/>
    </row>
    <row r="10">
      <c r="A10" s="23">
        <v>4.0</v>
      </c>
      <c r="B10" s="24" t="s">
        <v>11</v>
      </c>
      <c r="C10" s="25"/>
      <c r="D10" s="25"/>
      <c r="E10" s="25"/>
      <c r="F10" s="25"/>
      <c r="G10" s="26"/>
      <c r="H10" s="26"/>
      <c r="I10" s="26"/>
      <c r="J10" s="26"/>
    </row>
    <row r="11" ht="4.5" customHeight="1">
      <c r="A11" s="25"/>
      <c r="B11" s="24"/>
      <c r="C11" s="25"/>
      <c r="D11" s="25"/>
      <c r="E11" s="25"/>
      <c r="F11" s="25"/>
      <c r="G11" s="26"/>
      <c r="H11" s="26"/>
      <c r="I11" s="26"/>
      <c r="J11" s="26"/>
    </row>
    <row r="12" ht="16.5" customHeight="1">
      <c r="B12" s="27" t="s">
        <v>12</v>
      </c>
      <c r="C12" s="28" t="s">
        <v>13</v>
      </c>
      <c r="L12" s="29"/>
    </row>
    <row r="13" ht="16.5" customHeight="1">
      <c r="B13" s="27" t="s">
        <v>14</v>
      </c>
      <c r="C13" s="28" t="s">
        <v>15</v>
      </c>
      <c r="L13" s="29"/>
    </row>
    <row r="14" ht="16.5" customHeight="1">
      <c r="B14" s="27" t="s">
        <v>16</v>
      </c>
      <c r="C14" s="30" t="s">
        <v>17</v>
      </c>
      <c r="L14" s="29"/>
    </row>
    <row r="15" ht="15.0" customHeight="1">
      <c r="A15" s="25"/>
      <c r="B15" s="24"/>
      <c r="C15" s="25"/>
      <c r="D15" s="25"/>
      <c r="E15" s="25"/>
      <c r="F15" s="25"/>
      <c r="G15" s="26"/>
      <c r="H15" s="26"/>
      <c r="I15" s="26"/>
      <c r="J15" s="26"/>
    </row>
    <row r="16" ht="15.0" customHeight="1">
      <c r="A16" s="23">
        <v>4.0</v>
      </c>
      <c r="B16" s="31" t="s">
        <v>18</v>
      </c>
      <c r="G16" s="26"/>
      <c r="H16" s="26"/>
      <c r="I16" s="26"/>
      <c r="J16" s="26"/>
    </row>
    <row r="17" ht="4.5" customHeight="1">
      <c r="A17" s="25"/>
      <c r="B17" s="24"/>
      <c r="C17" s="25"/>
      <c r="D17" s="25"/>
      <c r="E17" s="26"/>
      <c r="F17" s="26"/>
      <c r="G17" s="26"/>
      <c r="H17" s="26"/>
      <c r="I17" s="26"/>
      <c r="J17" s="26"/>
    </row>
    <row r="18" ht="21.75" customHeight="1">
      <c r="B18" s="32" t="s">
        <v>19</v>
      </c>
      <c r="C18" s="33"/>
      <c r="D18" s="32" t="s">
        <v>20</v>
      </c>
      <c r="E18" s="34"/>
      <c r="F18" s="33"/>
      <c r="G18" s="35" t="s">
        <v>21</v>
      </c>
      <c r="H18" s="33"/>
      <c r="I18" s="32" t="s">
        <v>22</v>
      </c>
      <c r="J18" s="33"/>
    </row>
    <row r="19" ht="30.75" customHeight="1">
      <c r="B19" s="36" t="s">
        <v>23</v>
      </c>
      <c r="C19" s="33"/>
      <c r="D19" s="36" t="s">
        <v>23</v>
      </c>
      <c r="E19" s="34"/>
      <c r="F19" s="33"/>
      <c r="G19" s="36" t="s">
        <v>23</v>
      </c>
      <c r="H19" s="33"/>
      <c r="I19" s="37" t="s">
        <v>23</v>
      </c>
      <c r="J19" s="33"/>
    </row>
    <row r="20">
      <c r="B20" s="38"/>
      <c r="C20" s="38"/>
      <c r="D20" s="38"/>
      <c r="E20" s="38"/>
      <c r="F20" s="38"/>
      <c r="G20" s="38"/>
      <c r="H20" s="38"/>
      <c r="I20" s="39"/>
      <c r="J20" s="39"/>
      <c r="K20" s="39"/>
    </row>
    <row r="21" ht="21.75" customHeight="1">
      <c r="B21" s="32" t="s">
        <v>24</v>
      </c>
      <c r="C21" s="34"/>
      <c r="D21" s="34"/>
      <c r="E21" s="34"/>
      <c r="F21" s="34"/>
      <c r="G21" s="34"/>
      <c r="H21" s="34"/>
      <c r="I21" s="34"/>
      <c r="J21" s="33"/>
      <c r="K21" s="39"/>
    </row>
    <row r="22" ht="15.75" customHeight="1">
      <c r="B22" s="40" t="s">
        <v>25</v>
      </c>
      <c r="C22" s="4"/>
      <c r="D22" s="4"/>
      <c r="E22" s="4"/>
      <c r="F22" s="4"/>
      <c r="G22" s="4"/>
      <c r="H22" s="4"/>
      <c r="I22" s="4"/>
      <c r="J22" s="41"/>
      <c r="K22" s="39"/>
    </row>
    <row r="23" ht="15.75" customHeight="1">
      <c r="B23" s="15"/>
      <c r="J23" s="42"/>
      <c r="K23" s="39"/>
    </row>
    <row r="24" ht="16.5" customHeight="1">
      <c r="B24" s="43"/>
      <c r="C24" s="44"/>
      <c r="D24" s="44"/>
      <c r="E24" s="44"/>
      <c r="F24" s="44"/>
      <c r="G24" s="44"/>
      <c r="H24" s="44"/>
      <c r="I24" s="44"/>
      <c r="J24" s="45"/>
    </row>
    <row r="25" ht="16.5" customHeight="1">
      <c r="B25" s="38"/>
      <c r="C25" s="38"/>
      <c r="D25" s="38"/>
      <c r="E25" s="38"/>
      <c r="F25" s="38"/>
      <c r="G25" s="38"/>
      <c r="H25" s="38"/>
      <c r="I25" s="46"/>
      <c r="J25" s="46"/>
    </row>
    <row r="26" ht="20.25" customHeight="1">
      <c r="A26" s="23">
        <v>4.0</v>
      </c>
      <c r="B26" s="24" t="s">
        <v>26</v>
      </c>
      <c r="C26" s="25"/>
      <c r="D26" s="25"/>
      <c r="E26" s="25"/>
      <c r="F26" s="25"/>
      <c r="G26" s="25"/>
      <c r="H26" s="25"/>
      <c r="I26" s="25"/>
      <c r="J26" s="25"/>
    </row>
    <row r="27" ht="16.5" customHeight="1">
      <c r="B27" s="47" t="s">
        <v>27</v>
      </c>
    </row>
    <row r="28" ht="16.5" customHeight="1"/>
    <row r="29" ht="15.75" customHeight="1"/>
    <row r="30" ht="15.75" customHeight="1">
      <c r="A30" s="23">
        <v>4.0</v>
      </c>
      <c r="B30" s="24" t="s">
        <v>28</v>
      </c>
      <c r="C30" s="25"/>
      <c r="D30" s="25"/>
      <c r="E30" s="26"/>
      <c r="F30" s="26"/>
      <c r="G30" s="26"/>
      <c r="H30" s="26"/>
      <c r="I30" s="26"/>
      <c r="J30" s="26"/>
    </row>
    <row r="31" ht="5.25" customHeight="1">
      <c r="A31" s="26"/>
      <c r="B31" s="48"/>
      <c r="C31" s="26"/>
      <c r="D31" s="26"/>
      <c r="E31" s="26"/>
      <c r="F31" s="26"/>
      <c r="G31" s="26"/>
      <c r="H31" s="26"/>
      <c r="I31" s="26"/>
      <c r="J31" s="26"/>
    </row>
    <row r="32" ht="11.25" customHeight="1">
      <c r="A32" s="38"/>
    </row>
    <row r="33" ht="11.25" customHeight="1">
      <c r="A33" s="38"/>
      <c r="B33" s="49" t="s">
        <v>29</v>
      </c>
      <c r="C33" s="4"/>
      <c r="D33" s="4"/>
      <c r="E33" s="4"/>
      <c r="F33" s="4"/>
      <c r="G33" s="4"/>
      <c r="H33" s="4"/>
      <c r="I33" s="41"/>
    </row>
    <row r="34" ht="15.75" customHeight="1">
      <c r="A34" s="38"/>
      <c r="B34" s="15"/>
      <c r="I34" s="42"/>
    </row>
    <row r="35" ht="15.75" customHeight="1">
      <c r="A35" s="38"/>
      <c r="B35" s="15"/>
      <c r="I35" s="42"/>
    </row>
    <row r="36" ht="15.75" customHeight="1">
      <c r="A36" s="38"/>
      <c r="B36" s="15"/>
      <c r="I36" s="42"/>
    </row>
    <row r="37" ht="15.75" customHeight="1">
      <c r="A37" s="38"/>
      <c r="B37" s="15"/>
      <c r="I37" s="42"/>
    </row>
    <row r="38" ht="15.75" customHeight="1">
      <c r="A38" s="38"/>
      <c r="B38" s="15"/>
      <c r="I38" s="42"/>
    </row>
    <row r="39" ht="15.75" customHeight="1">
      <c r="A39" s="38"/>
      <c r="B39" s="15"/>
      <c r="I39" s="42"/>
    </row>
    <row r="40" ht="11.25" customHeight="1">
      <c r="A40" s="38"/>
      <c r="B40" s="15"/>
      <c r="I40" s="42"/>
    </row>
    <row r="41" ht="15.75" customHeight="1">
      <c r="A41" s="38"/>
      <c r="B41" s="15"/>
      <c r="I41" s="42"/>
    </row>
    <row r="42" ht="15.75" customHeight="1">
      <c r="A42" s="38"/>
      <c r="B42" s="15"/>
      <c r="I42" s="42"/>
    </row>
    <row r="43" ht="15.75" customHeight="1">
      <c r="A43" s="38"/>
      <c r="B43" s="15"/>
      <c r="I43" s="42"/>
    </row>
    <row r="44" ht="15.75" customHeight="1">
      <c r="A44" s="38"/>
      <c r="B44" s="43"/>
      <c r="C44" s="44"/>
      <c r="D44" s="44"/>
      <c r="E44" s="44"/>
      <c r="F44" s="44"/>
      <c r="G44" s="44"/>
      <c r="H44" s="44"/>
      <c r="I44" s="45"/>
    </row>
    <row r="45" ht="19.5" customHeight="1">
      <c r="A45" s="38"/>
      <c r="B45" s="38"/>
      <c r="C45" s="38"/>
      <c r="D45" s="38"/>
      <c r="E45" s="38"/>
      <c r="F45" s="38"/>
      <c r="G45" s="38"/>
      <c r="H45" s="38"/>
      <c r="I45" s="38"/>
    </row>
    <row r="46" ht="19.5" customHeight="1">
      <c r="A46" s="38"/>
      <c r="B46" s="50" t="s">
        <v>30</v>
      </c>
      <c r="C46" s="33"/>
      <c r="D46" s="50" t="s">
        <v>31</v>
      </c>
      <c r="E46" s="33"/>
      <c r="F46" s="50" t="s">
        <v>20</v>
      </c>
      <c r="G46" s="33"/>
      <c r="H46" s="50" t="s">
        <v>32</v>
      </c>
      <c r="I46" s="34"/>
      <c r="J46" s="33"/>
    </row>
    <row r="47" ht="36.75" customHeight="1">
      <c r="A47" s="38"/>
      <c r="B47" s="51"/>
      <c r="C47" s="33"/>
      <c r="D47" s="52"/>
      <c r="E47" s="33"/>
      <c r="F47" s="52"/>
      <c r="G47" s="33"/>
      <c r="H47" s="52"/>
      <c r="I47" s="34"/>
      <c r="J47" s="33"/>
    </row>
    <row r="48" ht="28.5" customHeight="1">
      <c r="A48" s="38"/>
      <c r="B48" s="51"/>
      <c r="C48" s="33"/>
      <c r="D48" s="52"/>
      <c r="E48" s="33"/>
      <c r="F48" s="52"/>
      <c r="G48" s="33"/>
      <c r="H48" s="52"/>
      <c r="I48" s="34"/>
      <c r="J48" s="33"/>
    </row>
    <row r="49" ht="28.5" customHeight="1">
      <c r="A49" s="38"/>
      <c r="B49" s="51"/>
      <c r="C49" s="33"/>
      <c r="D49" s="52"/>
      <c r="E49" s="33"/>
      <c r="F49" s="52"/>
      <c r="G49" s="33"/>
      <c r="H49" s="52"/>
      <c r="I49" s="34"/>
      <c r="J49" s="33"/>
    </row>
    <row r="50" ht="28.5" customHeight="1">
      <c r="A50" s="38"/>
      <c r="B50" s="51"/>
      <c r="C50" s="33"/>
      <c r="D50" s="52"/>
      <c r="E50" s="33"/>
      <c r="F50" s="52"/>
      <c r="G50" s="33"/>
      <c r="H50" s="52"/>
      <c r="I50" s="34"/>
      <c r="J50" s="33"/>
    </row>
    <row r="51" ht="28.5" customHeight="1">
      <c r="A51" s="38"/>
      <c r="B51" s="51"/>
      <c r="C51" s="33"/>
      <c r="D51" s="52"/>
      <c r="E51" s="33"/>
      <c r="F51" s="52"/>
      <c r="G51" s="33"/>
      <c r="H51" s="52"/>
      <c r="I51" s="34"/>
      <c r="J51" s="33"/>
    </row>
    <row r="52" ht="28.5" customHeight="1">
      <c r="A52" s="38"/>
      <c r="B52" s="51"/>
      <c r="C52" s="33"/>
      <c r="D52" s="52"/>
      <c r="E52" s="33"/>
      <c r="F52" s="52"/>
      <c r="G52" s="33"/>
      <c r="H52" s="52"/>
      <c r="I52" s="34"/>
      <c r="J52" s="33"/>
    </row>
    <row r="53" ht="28.5" customHeight="1">
      <c r="A53" s="38"/>
      <c r="B53" s="51"/>
      <c r="C53" s="33"/>
      <c r="D53" s="52"/>
      <c r="E53" s="33"/>
      <c r="F53" s="52"/>
      <c r="G53" s="33"/>
      <c r="H53" s="52"/>
      <c r="I53" s="34"/>
      <c r="J53" s="33"/>
    </row>
    <row r="54" ht="28.5" customHeight="1">
      <c r="A54" s="38"/>
      <c r="B54" s="51"/>
      <c r="C54" s="33"/>
      <c r="D54" s="52"/>
      <c r="E54" s="33"/>
      <c r="F54" s="52"/>
      <c r="G54" s="33"/>
      <c r="H54" s="52"/>
      <c r="I54" s="34"/>
      <c r="J54" s="33"/>
    </row>
    <row r="55" ht="28.5" customHeight="1">
      <c r="A55" s="38"/>
      <c r="B55" s="51"/>
      <c r="C55" s="33"/>
      <c r="D55" s="52"/>
      <c r="E55" s="33"/>
      <c r="F55" s="51"/>
      <c r="G55" s="33"/>
      <c r="H55" s="52"/>
      <c r="I55" s="34"/>
      <c r="J55" s="33"/>
    </row>
    <row r="56" ht="28.5" customHeight="1">
      <c r="A56" s="38"/>
      <c r="B56" s="51"/>
      <c r="C56" s="33"/>
      <c r="D56" s="52"/>
      <c r="E56" s="33"/>
      <c r="F56" s="52"/>
      <c r="G56" s="33"/>
      <c r="H56" s="52"/>
      <c r="I56" s="34"/>
      <c r="J56" s="33"/>
    </row>
    <row r="57" ht="28.5" customHeight="1">
      <c r="A57" s="38"/>
      <c r="B57" s="51"/>
      <c r="C57" s="33"/>
      <c r="D57" s="52"/>
      <c r="E57" s="33"/>
      <c r="F57" s="52"/>
      <c r="G57" s="33"/>
      <c r="H57" s="52"/>
      <c r="I57" s="34"/>
      <c r="J57" s="33"/>
    </row>
    <row r="58" ht="15.0" customHeight="1">
      <c r="A58" s="38"/>
      <c r="B58" s="38"/>
      <c r="C58" s="38"/>
      <c r="D58" s="38"/>
      <c r="E58" s="38"/>
      <c r="F58" s="38"/>
      <c r="G58" s="38"/>
      <c r="H58" s="38"/>
      <c r="I58" s="38"/>
    </row>
    <row r="59" ht="17.25" customHeight="1">
      <c r="A59" s="38"/>
      <c r="B59" s="53"/>
      <c r="C59" s="53"/>
      <c r="D59" s="53"/>
      <c r="E59" s="53"/>
      <c r="F59" s="53"/>
      <c r="G59" s="53"/>
      <c r="H59" s="53"/>
      <c r="I59" s="53"/>
      <c r="J59" s="38"/>
    </row>
    <row r="60" ht="17.25" customHeight="1">
      <c r="A60" s="54">
        <v>4.0</v>
      </c>
      <c r="B60" s="24" t="s">
        <v>33</v>
      </c>
      <c r="C60" s="25"/>
      <c r="D60" s="25"/>
      <c r="E60" s="53"/>
      <c r="F60" s="53"/>
      <c r="G60" s="53"/>
      <c r="H60" s="53"/>
      <c r="I60" s="53"/>
      <c r="J60" s="38"/>
    </row>
    <row r="61" ht="11.25" customHeight="1">
      <c r="A61" s="55"/>
      <c r="B61" s="24"/>
      <c r="C61" s="25"/>
      <c r="D61" s="25"/>
      <c r="E61" s="53"/>
      <c r="F61" s="53"/>
      <c r="G61" s="53"/>
      <c r="H61" s="53"/>
      <c r="I61" s="53"/>
      <c r="J61" s="38"/>
    </row>
    <row r="62" ht="17.25" customHeight="1">
      <c r="A62" s="56"/>
      <c r="B62" s="57" t="s">
        <v>34</v>
      </c>
      <c r="C62" s="58"/>
      <c r="D62" s="58"/>
      <c r="E62" s="53"/>
      <c r="F62" s="53"/>
      <c r="G62" s="53"/>
      <c r="H62" s="53"/>
      <c r="I62" s="53"/>
      <c r="J62" s="38"/>
    </row>
    <row r="63" ht="17.25" customHeight="1">
      <c r="A63" s="56"/>
      <c r="B63" s="57" t="s">
        <v>35</v>
      </c>
      <c r="C63" s="58"/>
      <c r="D63" s="58"/>
      <c r="E63" s="53"/>
      <c r="F63" s="53"/>
      <c r="G63" s="53"/>
      <c r="H63" s="53"/>
      <c r="I63" s="53"/>
      <c r="J63" s="38"/>
    </row>
    <row r="64" ht="17.25" customHeight="1">
      <c r="A64" s="56"/>
      <c r="B64" s="57" t="s">
        <v>36</v>
      </c>
      <c r="C64" s="58"/>
      <c r="D64" s="58"/>
      <c r="E64" s="53"/>
      <c r="F64" s="53"/>
      <c r="G64" s="53"/>
      <c r="H64" s="53"/>
      <c r="I64" s="53"/>
      <c r="J64" s="38"/>
    </row>
    <row r="65" ht="17.25" customHeight="1">
      <c r="A65" s="58"/>
      <c r="B65" s="59"/>
      <c r="C65" s="58"/>
      <c r="D65" s="58"/>
      <c r="E65" s="53"/>
      <c r="F65" s="53"/>
      <c r="G65" s="53"/>
      <c r="H65" s="53"/>
      <c r="I65" s="53"/>
      <c r="J65" s="38"/>
    </row>
    <row r="66" ht="17.25" customHeight="1">
      <c r="A66" s="38"/>
      <c r="B66" s="53"/>
      <c r="C66" s="53"/>
      <c r="D66" s="53"/>
      <c r="E66" s="53"/>
      <c r="F66" s="53"/>
      <c r="G66" s="53"/>
      <c r="H66" s="53"/>
      <c r="I66" s="53"/>
      <c r="J66" s="38"/>
    </row>
    <row r="67" ht="15.0" customHeight="1">
      <c r="A67" s="23">
        <v>4.0</v>
      </c>
      <c r="B67" s="60" t="s">
        <v>37</v>
      </c>
      <c r="C67" s="25"/>
      <c r="D67" s="25"/>
      <c r="E67" s="26"/>
      <c r="F67" s="26"/>
      <c r="G67" s="26"/>
      <c r="H67" s="26"/>
      <c r="I67" s="26"/>
      <c r="J67" s="26"/>
    </row>
    <row r="68" ht="15.0" customHeight="1">
      <c r="A68" s="23"/>
      <c r="B68" s="60"/>
      <c r="C68" s="25"/>
      <c r="D68" s="25"/>
      <c r="E68" s="26"/>
      <c r="F68" s="26"/>
      <c r="G68" s="26"/>
      <c r="H68" s="26"/>
      <c r="I68" s="26"/>
      <c r="J68" s="26"/>
    </row>
    <row r="69" ht="15.0" customHeight="1">
      <c r="A69" s="23"/>
      <c r="B69" s="60"/>
      <c r="C69" s="25"/>
      <c r="D69" s="25"/>
      <c r="E69" s="26"/>
      <c r="F69" s="26"/>
      <c r="G69" s="26"/>
      <c r="H69" s="26"/>
      <c r="I69" s="26"/>
      <c r="J69" s="26"/>
    </row>
    <row r="70" ht="0.75" customHeight="1">
      <c r="A70" s="61"/>
      <c r="B70" s="25"/>
      <c r="C70" s="25"/>
      <c r="D70" s="25"/>
      <c r="E70" s="61"/>
      <c r="J70" s="61"/>
    </row>
    <row r="71" ht="15.0" customHeight="1">
      <c r="A71" s="61"/>
      <c r="B71" s="61"/>
      <c r="C71" s="61"/>
      <c r="D71" s="61"/>
      <c r="E71" s="61"/>
      <c r="J71" s="61"/>
    </row>
    <row r="72" ht="15.0" customHeight="1">
      <c r="A72" s="61"/>
      <c r="B72" s="62"/>
      <c r="C72" s="62"/>
      <c r="D72" s="61"/>
      <c r="E72" s="61"/>
      <c r="F72" s="61"/>
      <c r="G72" s="61"/>
      <c r="H72" s="61"/>
      <c r="J72" s="61"/>
    </row>
    <row r="73" ht="15.0" customHeight="1">
      <c r="A73" s="61"/>
      <c r="B73" s="62"/>
      <c r="C73" s="62"/>
      <c r="D73" s="63"/>
      <c r="E73" s="64" t="s">
        <v>38</v>
      </c>
      <c r="F73" s="4"/>
      <c r="G73" s="4"/>
      <c r="H73" s="4"/>
      <c r="I73" s="65"/>
      <c r="J73" s="61"/>
    </row>
    <row r="74" ht="15.75" customHeight="1">
      <c r="D74" s="58"/>
    </row>
    <row r="75" ht="15.75" customHeight="1">
      <c r="E75" s="26"/>
      <c r="F75" s="26"/>
      <c r="G75" s="26"/>
      <c r="H75" s="26"/>
    </row>
    <row r="76" ht="15.75" customHeight="1">
      <c r="E76" s="61"/>
      <c r="F76" s="61"/>
      <c r="G76" s="61"/>
      <c r="H76" s="61"/>
    </row>
    <row r="77" ht="15.75" customHeight="1">
      <c r="B77" s="66" t="s">
        <v>39</v>
      </c>
    </row>
    <row r="78" ht="15.75" customHeight="1">
      <c r="B78" s="66" t="s">
        <v>40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D48:E48"/>
    <mergeCell ref="F48:G48"/>
    <mergeCell ref="B49:C49"/>
    <mergeCell ref="D49:E49"/>
    <mergeCell ref="F49:G49"/>
    <mergeCell ref="B50:C50"/>
    <mergeCell ref="H49:J49"/>
    <mergeCell ref="H50:J50"/>
    <mergeCell ref="D50:E50"/>
    <mergeCell ref="F50:G50"/>
    <mergeCell ref="B51:C51"/>
    <mergeCell ref="D51:E51"/>
    <mergeCell ref="F51:G51"/>
    <mergeCell ref="H51:J51"/>
    <mergeCell ref="H52:J52"/>
    <mergeCell ref="F54:G54"/>
    <mergeCell ref="E73:H74"/>
    <mergeCell ref="B77:K77"/>
    <mergeCell ref="B78:K78"/>
    <mergeCell ref="H54:J54"/>
    <mergeCell ref="H55:J55"/>
    <mergeCell ref="H56:J56"/>
    <mergeCell ref="B52:C52"/>
    <mergeCell ref="B53:C53"/>
    <mergeCell ref="D53:E53"/>
    <mergeCell ref="F53:G53"/>
    <mergeCell ref="B54:C54"/>
    <mergeCell ref="D54:E54"/>
    <mergeCell ref="H53:J53"/>
    <mergeCell ref="B56:C56"/>
    <mergeCell ref="B57:C57"/>
    <mergeCell ref="D57:E57"/>
    <mergeCell ref="F57:G57"/>
    <mergeCell ref="H57:J57"/>
    <mergeCell ref="B55:C55"/>
    <mergeCell ref="D55:E55"/>
    <mergeCell ref="F55:G55"/>
    <mergeCell ref="D56:E56"/>
    <mergeCell ref="F56:G56"/>
    <mergeCell ref="I4:J4"/>
    <mergeCell ref="K4:L4"/>
    <mergeCell ref="C1:H3"/>
    <mergeCell ref="I1:J1"/>
    <mergeCell ref="I2:J2"/>
    <mergeCell ref="K2:L2"/>
    <mergeCell ref="I3:J3"/>
    <mergeCell ref="K3:L3"/>
    <mergeCell ref="A4:H5"/>
    <mergeCell ref="I5:J5"/>
    <mergeCell ref="K5:L5"/>
    <mergeCell ref="E7:H8"/>
    <mergeCell ref="C12:K12"/>
    <mergeCell ref="C13:K13"/>
    <mergeCell ref="C14:K14"/>
    <mergeCell ref="B16:F16"/>
    <mergeCell ref="B18:C18"/>
    <mergeCell ref="D18:F18"/>
    <mergeCell ref="G18:H18"/>
    <mergeCell ref="I18:J18"/>
    <mergeCell ref="B19:C19"/>
    <mergeCell ref="G19:H19"/>
    <mergeCell ref="I19:J19"/>
    <mergeCell ref="D19:F19"/>
    <mergeCell ref="B21:J21"/>
    <mergeCell ref="B22:J24"/>
    <mergeCell ref="B27:K29"/>
    <mergeCell ref="A32:J32"/>
    <mergeCell ref="B33:I44"/>
    <mergeCell ref="B46:C46"/>
    <mergeCell ref="H46:J46"/>
    <mergeCell ref="D46:E46"/>
    <mergeCell ref="F46:G46"/>
    <mergeCell ref="B47:C47"/>
    <mergeCell ref="D47:E47"/>
    <mergeCell ref="F47:G47"/>
    <mergeCell ref="H47:J47"/>
    <mergeCell ref="B48:C48"/>
    <mergeCell ref="H48:J48"/>
    <mergeCell ref="D52:E52"/>
    <mergeCell ref="F52:G52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8.71"/>
    <col customWidth="1" min="2" max="2" width="8.29"/>
    <col customWidth="1" min="3" max="3" width="9.29"/>
    <col customWidth="1" min="4" max="4" width="15.71"/>
    <col customWidth="1" min="5" max="5" width="9.43"/>
    <col customWidth="1" min="6" max="6" width="15.43"/>
    <col customWidth="1" min="7" max="10" width="18.0"/>
    <col customWidth="1" min="11" max="12" width="18.86"/>
    <col customWidth="1" min="13" max="13" width="11.0"/>
    <col customWidth="1" min="14" max="14" width="10.14"/>
    <col customWidth="1" min="15" max="15" width="5.71"/>
    <col customWidth="1" min="16" max="23" width="11.43"/>
    <col customWidth="1" min="24" max="24" width="15.71"/>
    <col customWidth="1" min="25" max="27" width="11.43"/>
    <col customWidth="1" min="28" max="32" width="8.71"/>
  </cols>
  <sheetData>
    <row r="1" ht="18.0" customHeight="1">
      <c r="A1" s="1"/>
      <c r="B1" s="2"/>
      <c r="C1" s="3" t="s">
        <v>0</v>
      </c>
      <c r="D1" s="4"/>
      <c r="E1" s="4"/>
      <c r="F1" s="4"/>
      <c r="G1" s="4"/>
      <c r="H1" s="4"/>
      <c r="I1" s="5" t="s">
        <v>1</v>
      </c>
      <c r="J1" s="4"/>
      <c r="K1" s="6" t="s">
        <v>41</v>
      </c>
      <c r="L1" s="7">
        <v>14.0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ht="18.0" customHeight="1">
      <c r="A2" s="8"/>
      <c r="B2" s="9"/>
      <c r="I2" s="10" t="s">
        <v>3</v>
      </c>
      <c r="K2" s="68" t="str">
        <f>CAPA!K2</f>
        <v>Dia-Mês-Ano</v>
      </c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ht="18.0" customHeight="1">
      <c r="A3" s="8"/>
      <c r="B3" s="9"/>
      <c r="I3" s="12" t="s">
        <v>5</v>
      </c>
      <c r="K3" s="17" t="str">
        <f>CAPA!K3</f>
        <v>Dia-Mês-Ano</v>
      </c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ht="15.0" customHeight="1">
      <c r="A4" s="14" t="s">
        <v>6</v>
      </c>
      <c r="I4" s="12" t="s">
        <v>7</v>
      </c>
      <c r="K4" s="17" t="str">
        <f>CAPA!K4</f>
        <v>Dia-Mês-Ano</v>
      </c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>
      <c r="A5" s="15"/>
      <c r="I5" s="10" t="s">
        <v>8</v>
      </c>
      <c r="K5" s="17" t="str">
        <f>CAPA!K5</f>
        <v>Dia-Mês-Ano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 ht="18.0" customHeight="1">
      <c r="A6" s="1"/>
      <c r="B6" s="2"/>
      <c r="C6" s="3" t="s">
        <v>0</v>
      </c>
      <c r="D6" s="4"/>
      <c r="E6" s="4"/>
      <c r="F6" s="4"/>
      <c r="G6" s="4"/>
      <c r="H6" s="4"/>
      <c r="I6" s="5" t="s">
        <v>1</v>
      </c>
      <c r="J6" s="4"/>
      <c r="K6" s="6" t="s">
        <v>42</v>
      </c>
      <c r="L6" s="7">
        <f>CAPA!$L$1</f>
        <v>6</v>
      </c>
    </row>
    <row r="7" ht="18.0" customHeight="1">
      <c r="A7" s="8"/>
      <c r="B7" s="9"/>
      <c r="I7" s="10" t="s">
        <v>3</v>
      </c>
      <c r="K7" s="68" t="str">
        <f>CAPA!$K$2</f>
        <v>Dia-Mês-Ano</v>
      </c>
    </row>
    <row r="8" ht="18.0" customHeight="1">
      <c r="A8" s="8"/>
      <c r="B8" s="9"/>
      <c r="I8" s="12" t="s">
        <v>5</v>
      </c>
      <c r="K8" s="17" t="str">
        <f>CAPA!$K$3</f>
        <v>Dia-Mês-Ano</v>
      </c>
    </row>
    <row r="9" ht="15.0" customHeight="1">
      <c r="A9" s="14" t="s">
        <v>6</v>
      </c>
      <c r="I9" s="12" t="s">
        <v>7</v>
      </c>
      <c r="K9" s="17" t="str">
        <f>CAPA!$K$4</f>
        <v>Dia-Mês-Ano</v>
      </c>
    </row>
    <row r="10">
      <c r="A10" s="15"/>
      <c r="I10" s="10" t="s">
        <v>8</v>
      </c>
      <c r="K10" s="17" t="str">
        <f>CAPA!$K$5</f>
        <v>Dia-Mês-Ano</v>
      </c>
    </row>
    <row r="11">
      <c r="A11" s="14"/>
      <c r="B11" s="16"/>
      <c r="C11" s="16"/>
      <c r="D11" s="16"/>
      <c r="E11" s="16"/>
      <c r="F11" s="16"/>
      <c r="G11" s="16"/>
      <c r="H11" s="16"/>
      <c r="I11" s="10"/>
      <c r="J11" s="10"/>
      <c r="K11" s="17"/>
      <c r="L11" s="17"/>
    </row>
    <row r="12">
      <c r="A12" s="14"/>
      <c r="B12" s="16"/>
      <c r="C12" s="16"/>
      <c r="D12" s="16"/>
      <c r="E12" s="18" t="s">
        <v>9</v>
      </c>
      <c r="I12" s="10"/>
      <c r="J12" s="10"/>
      <c r="K12" s="19" t="s">
        <v>10</v>
      </c>
      <c r="L12" s="20">
        <v>2.0</v>
      </c>
    </row>
    <row r="13">
      <c r="A13" s="14"/>
      <c r="B13" s="16"/>
      <c r="C13" s="16"/>
      <c r="D13" s="16"/>
      <c r="I13" s="10"/>
      <c r="J13" s="10"/>
      <c r="K13" s="17"/>
      <c r="L13" s="17"/>
    </row>
    <row r="14">
      <c r="A14" s="21"/>
      <c r="B14" s="22"/>
      <c r="C14" s="22"/>
      <c r="D14" s="22"/>
      <c r="E14" s="22"/>
      <c r="F14" s="22"/>
      <c r="G14" s="22"/>
      <c r="H14" s="22"/>
      <c r="I14" s="10"/>
      <c r="J14" s="10"/>
    </row>
    <row r="15" ht="15.0" customHeight="1">
      <c r="A15" s="69" t="s">
        <v>43</v>
      </c>
      <c r="B15" s="69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</row>
    <row r="16">
      <c r="A16" s="71" t="s">
        <v>44</v>
      </c>
      <c r="B16" s="72"/>
      <c r="C16" s="72"/>
      <c r="D16" s="72"/>
      <c r="E16" s="73"/>
      <c r="F16" s="74" t="s">
        <v>45</v>
      </c>
      <c r="G16" s="75" t="s">
        <v>46</v>
      </c>
      <c r="H16" s="75" t="s">
        <v>47</v>
      </c>
      <c r="I16" s="75" t="s">
        <v>48</v>
      </c>
      <c r="J16" s="75" t="s">
        <v>49</v>
      </c>
    </row>
    <row r="17">
      <c r="A17" s="76" t="s">
        <v>50</v>
      </c>
      <c r="B17" s="77"/>
      <c r="C17" s="78"/>
      <c r="D17" s="79" t="s">
        <v>51</v>
      </c>
      <c r="E17" s="78"/>
      <c r="F17" s="80">
        <v>45714.0</v>
      </c>
      <c r="G17" s="81">
        <v>15.825</v>
      </c>
      <c r="H17" s="81">
        <v>16.096</v>
      </c>
      <c r="I17" s="81">
        <v>17.609</v>
      </c>
      <c r="J17" s="81">
        <v>17.012</v>
      </c>
      <c r="AB17" s="82"/>
      <c r="AD17" s="82"/>
      <c r="AE17" s="82"/>
      <c r="AF17" s="82"/>
    </row>
    <row r="18">
      <c r="A18" s="83" t="s">
        <v>52</v>
      </c>
      <c r="B18" s="84"/>
      <c r="C18" s="85"/>
      <c r="D18" s="86" t="s">
        <v>53</v>
      </c>
      <c r="E18" s="87" t="str">
        <f>0.95*CAPA!$G$19</f>
        <v>#VALUE!</v>
      </c>
      <c r="F18" s="88"/>
      <c r="G18" s="89">
        <v>57.852</v>
      </c>
      <c r="H18" s="89">
        <v>59.045</v>
      </c>
      <c r="I18" s="89">
        <v>60.468</v>
      </c>
      <c r="J18" s="89">
        <v>59.236</v>
      </c>
    </row>
    <row r="19" ht="15.75" customHeight="1">
      <c r="A19" s="90"/>
      <c r="B19" s="91"/>
      <c r="C19" s="92"/>
      <c r="D19" s="93" t="s">
        <v>54</v>
      </c>
      <c r="E19" s="94"/>
      <c r="F19" s="95"/>
      <c r="G19" s="96">
        <v>0.8031481481481482</v>
      </c>
      <c r="H19" s="96">
        <v>0.8206018518518517</v>
      </c>
      <c r="I19" s="96">
        <v>0.8399537037037037</v>
      </c>
      <c r="J19" s="96">
        <v>0.8226041666666667</v>
      </c>
    </row>
    <row r="20" ht="15.0" customHeight="1">
      <c r="A20" s="97" t="s">
        <v>55</v>
      </c>
      <c r="B20" s="98"/>
      <c r="C20" s="99"/>
      <c r="D20" s="100" t="s">
        <v>56</v>
      </c>
      <c r="E20" s="101" t="str">
        <f>2*CAPA!$G$19/20</f>
        <v>#VALUE!</v>
      </c>
      <c r="F20" s="80">
        <v>45723.0</v>
      </c>
      <c r="G20" s="89">
        <v>9.835</v>
      </c>
      <c r="H20" s="89">
        <v>8.708</v>
      </c>
      <c r="I20" s="89">
        <v>8.59</v>
      </c>
      <c r="J20" s="89">
        <v>8.393</v>
      </c>
    </row>
    <row r="21" ht="15.75" customHeight="1">
      <c r="A21" s="102"/>
      <c r="B21" s="103"/>
      <c r="C21" s="104"/>
      <c r="D21" s="105" t="s">
        <v>57</v>
      </c>
      <c r="E21" s="106" t="str">
        <f>3*CAPA!$G$19/20</f>
        <v>#VALUE!</v>
      </c>
      <c r="F21" s="88"/>
      <c r="G21" s="107">
        <v>14.998</v>
      </c>
      <c r="H21" s="107">
        <v>14.998</v>
      </c>
      <c r="I21" s="107">
        <v>14.998</v>
      </c>
      <c r="J21" s="107">
        <v>14.997</v>
      </c>
    </row>
    <row r="22" ht="15.0" customHeight="1">
      <c r="A22" s="108" t="s">
        <v>58</v>
      </c>
      <c r="B22" s="84"/>
      <c r="C22" s="85"/>
      <c r="D22" s="105" t="s">
        <v>59</v>
      </c>
      <c r="E22" s="106" t="str">
        <f>5*CAPA!$G$19/20</f>
        <v>#VALUE!</v>
      </c>
      <c r="F22" s="88"/>
      <c r="G22" s="107">
        <v>15.001</v>
      </c>
      <c r="H22" s="107">
        <v>14.998</v>
      </c>
      <c r="I22" s="107">
        <v>14.998</v>
      </c>
      <c r="J22" s="107">
        <v>14.997</v>
      </c>
    </row>
    <row r="23" ht="15.0" customHeight="1">
      <c r="A23" s="90"/>
      <c r="B23" s="91"/>
      <c r="C23" s="92"/>
      <c r="D23" s="93" t="s">
        <v>51</v>
      </c>
      <c r="E23" s="109"/>
      <c r="F23" s="95"/>
      <c r="G23" s="110">
        <v>93.675</v>
      </c>
      <c r="H23" s="110">
        <v>95.28</v>
      </c>
      <c r="I23" s="110">
        <v>97.306</v>
      </c>
      <c r="J23" s="110">
        <v>98.06</v>
      </c>
    </row>
    <row r="24" ht="15.75" customHeight="1">
      <c r="A24" s="97" t="s">
        <v>60</v>
      </c>
      <c r="B24" s="98"/>
      <c r="C24" s="99"/>
      <c r="D24" s="86" t="s">
        <v>61</v>
      </c>
      <c r="E24" s="87" t="str">
        <f>0.95*CAPA!$G$19</f>
        <v>#VALUE!</v>
      </c>
      <c r="F24" s="80">
        <v>45726.0</v>
      </c>
      <c r="G24" s="89">
        <v>59.0</v>
      </c>
      <c r="H24" s="89">
        <v>59.767</v>
      </c>
      <c r="I24" s="89">
        <v>60.709</v>
      </c>
      <c r="J24" s="89">
        <v>59.857</v>
      </c>
    </row>
    <row r="25" ht="15.75" customHeight="1">
      <c r="A25" s="102"/>
      <c r="B25" s="103"/>
      <c r="C25" s="104"/>
      <c r="D25" s="111" t="s">
        <v>54</v>
      </c>
      <c r="E25" s="112"/>
      <c r="F25" s="88"/>
      <c r="G25" s="113">
        <v>0.8190972222222223</v>
      </c>
      <c r="H25" s="113">
        <v>0.830613425925926</v>
      </c>
      <c r="I25" s="113">
        <v>0.8433564814814815</v>
      </c>
      <c r="J25" s="113">
        <v>0.8312384259259259</v>
      </c>
    </row>
    <row r="26" ht="15.0" customHeight="1">
      <c r="A26" s="114" t="s">
        <v>58</v>
      </c>
      <c r="B26" s="115"/>
      <c r="C26" s="94"/>
      <c r="D26" s="93" t="s">
        <v>51</v>
      </c>
      <c r="E26" s="109"/>
      <c r="F26" s="95"/>
      <c r="G26" s="116">
        <v>72.276</v>
      </c>
      <c r="H26" s="116">
        <v>72.391</v>
      </c>
      <c r="I26" s="116">
        <v>73.883</v>
      </c>
      <c r="J26" s="116">
        <v>73.332</v>
      </c>
    </row>
    <row r="27" ht="15.75" customHeight="1">
      <c r="A27" s="97" t="s">
        <v>62</v>
      </c>
      <c r="B27" s="98"/>
      <c r="C27" s="117"/>
      <c r="D27" s="118" t="s">
        <v>63</v>
      </c>
      <c r="E27" s="119"/>
      <c r="F27" s="80">
        <v>45729.0</v>
      </c>
      <c r="G27" s="89">
        <v>460.002</v>
      </c>
      <c r="H27" s="89">
        <v>460.002</v>
      </c>
      <c r="I27" s="120">
        <v>460.002</v>
      </c>
      <c r="J27" s="89">
        <v>460.002</v>
      </c>
    </row>
    <row r="28" ht="15.75" customHeight="1">
      <c r="A28" s="121"/>
      <c r="C28" s="122"/>
      <c r="D28" s="123" t="s">
        <v>64</v>
      </c>
      <c r="E28" s="124"/>
      <c r="F28" s="88"/>
      <c r="G28" s="107">
        <v>276.001</v>
      </c>
      <c r="H28" s="107">
        <v>276.001</v>
      </c>
      <c r="I28" s="125">
        <v>276.001</v>
      </c>
      <c r="J28" s="107">
        <v>276.001</v>
      </c>
    </row>
    <row r="29" ht="15.75" customHeight="1">
      <c r="A29" s="102"/>
      <c r="B29" s="103"/>
      <c r="C29" s="126"/>
      <c r="D29" s="127" t="s">
        <v>65</v>
      </c>
      <c r="E29" s="128" t="s">
        <v>66</v>
      </c>
      <c r="F29" s="88"/>
      <c r="G29" s="129">
        <v>7.647</v>
      </c>
      <c r="H29" s="129">
        <v>7.617</v>
      </c>
      <c r="I29" s="130">
        <v>7.671</v>
      </c>
      <c r="J29" s="129">
        <v>7.695</v>
      </c>
    </row>
    <row r="30" ht="15.75" customHeight="1">
      <c r="A30" s="131"/>
      <c r="B30" s="132"/>
      <c r="C30" s="112"/>
      <c r="D30" s="86" t="s">
        <v>67</v>
      </c>
      <c r="E30" s="133" t="s">
        <v>68</v>
      </c>
      <c r="F30" s="88"/>
      <c r="G30" s="129">
        <v>9.051</v>
      </c>
      <c r="H30" s="107">
        <v>9.036</v>
      </c>
      <c r="I30" s="125">
        <v>9.08</v>
      </c>
      <c r="J30" s="107">
        <v>9.082</v>
      </c>
    </row>
    <row r="31" ht="15.75" customHeight="1">
      <c r="A31" s="131"/>
      <c r="B31" s="132"/>
      <c r="C31" s="112"/>
      <c r="D31" s="123" t="s">
        <v>69</v>
      </c>
      <c r="E31" s="124"/>
      <c r="F31" s="88"/>
      <c r="G31" s="129">
        <v>8.715</v>
      </c>
      <c r="H31" s="134">
        <v>8.704</v>
      </c>
      <c r="I31" s="134">
        <v>8.74</v>
      </c>
      <c r="J31" s="107">
        <v>8.748</v>
      </c>
    </row>
    <row r="32" ht="15.75" customHeight="1">
      <c r="A32" s="131"/>
      <c r="B32" s="132"/>
      <c r="C32" s="112"/>
      <c r="D32" s="123" t="s">
        <v>70</v>
      </c>
      <c r="E32" s="124"/>
      <c r="F32" s="88"/>
      <c r="G32" s="129">
        <v>8.313</v>
      </c>
      <c r="H32" s="129">
        <v>8.303</v>
      </c>
      <c r="I32" s="129">
        <v>8.306</v>
      </c>
      <c r="J32" s="129">
        <v>8.346</v>
      </c>
    </row>
    <row r="33" ht="15.75" customHeight="1">
      <c r="A33" s="131"/>
      <c r="B33" s="132"/>
      <c r="C33" s="112"/>
      <c r="D33" s="135" t="s">
        <v>71</v>
      </c>
      <c r="E33" s="136"/>
      <c r="F33" s="88"/>
      <c r="G33" s="129">
        <v>129.0</v>
      </c>
      <c r="H33" s="129">
        <v>132.0</v>
      </c>
      <c r="I33" s="129">
        <v>122.99999999999999</v>
      </c>
      <c r="J33" s="129">
        <v>129.99999999999997</v>
      </c>
    </row>
    <row r="34" ht="31.5" customHeight="1">
      <c r="A34" s="131"/>
      <c r="B34" s="132"/>
      <c r="C34" s="112"/>
      <c r="D34" s="123" t="s">
        <v>72</v>
      </c>
      <c r="E34" s="124"/>
      <c r="F34" s="88"/>
      <c r="G34" s="137">
        <f t="shared" ref="G34:J34" si="1">G27/G28*10+G33</f>
        <v>145.6666787</v>
      </c>
      <c r="H34" s="137">
        <f t="shared" si="1"/>
        <v>148.6666787</v>
      </c>
      <c r="I34" s="137">
        <f t="shared" si="1"/>
        <v>139.6666787</v>
      </c>
      <c r="J34" s="137">
        <f t="shared" si="1"/>
        <v>146.6666787</v>
      </c>
    </row>
    <row r="35" ht="15.0" customHeight="1">
      <c r="A35" s="138" t="s">
        <v>73</v>
      </c>
      <c r="B35" s="115"/>
      <c r="C35" s="109"/>
      <c r="D35" s="93" t="s">
        <v>74</v>
      </c>
      <c r="E35" s="94"/>
      <c r="F35" s="95"/>
      <c r="G35" s="110">
        <v>16.91</v>
      </c>
      <c r="H35" s="110">
        <v>16.745</v>
      </c>
      <c r="I35" s="110">
        <v>16.268</v>
      </c>
      <c r="J35" s="110">
        <v>17.083</v>
      </c>
    </row>
    <row r="36" ht="15.0" customHeight="1"/>
    <row r="37" ht="15.75" customHeight="1"/>
    <row r="38" ht="15.75" customHeight="1"/>
    <row r="39" ht="15.75" customHeight="1"/>
    <row r="40" ht="15.75" customHeight="1"/>
    <row r="41" ht="15.0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</row>
    <row r="50" ht="15.75" customHeight="1"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</row>
    <row r="51" ht="15.75" customHeight="1"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</row>
    <row r="52" ht="15.75" customHeight="1"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</row>
    <row r="53" ht="15.75" customHeight="1"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</row>
    <row r="54" ht="15.75" customHeight="1"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ht="15.75" customHeight="1"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 ht="15.75" customHeight="1"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</row>
    <row r="57" ht="15.75" customHeight="1"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</row>
    <row r="58" ht="15.75" customHeight="1"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</row>
    <row r="59" ht="15.75" customHeight="1"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</row>
    <row r="60" ht="15.75" customHeight="1"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</row>
    <row r="61" ht="15.75" customHeight="1"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</row>
    <row r="62" ht="15.75" customHeight="1"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</row>
    <row r="63" ht="15.75" customHeight="1"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</row>
    <row r="64" ht="15.75" customHeight="1"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</row>
    <row r="65" ht="15.75" customHeight="1"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</row>
    <row r="66" ht="15.75" customHeight="1"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</row>
    <row r="67" ht="15.75" customHeight="1"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</row>
    <row r="68" ht="15.75" customHeight="1"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ht="15.75" customHeight="1"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ht="15.75" customHeight="1"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ht="15.75" customHeight="1"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</row>
    <row r="72" ht="15.75" customHeight="1"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</row>
    <row r="73" ht="15.75" customHeight="1"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</row>
    <row r="74" ht="15.75" customHeight="1"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</row>
    <row r="75" ht="15.75" customHeight="1"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</row>
    <row r="76" ht="15.75" customHeight="1"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</row>
    <row r="77" ht="15.75" customHeight="1"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</row>
    <row r="78" ht="15.75" customHeight="1"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</row>
    <row r="79" ht="15.75" customHeight="1"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</row>
    <row r="80" ht="15.75" customHeight="1"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</row>
    <row r="81" ht="15.75" customHeight="1"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</row>
    <row r="82" ht="15.75" customHeight="1"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</row>
    <row r="83" ht="15.75" customHeight="1"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</row>
    <row r="84" ht="15.75" customHeight="1"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</row>
    <row r="85" ht="15.75" customHeight="1"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</row>
    <row r="86" ht="15.75" customHeight="1"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</row>
    <row r="87" ht="15.75" customHeight="1"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</row>
    <row r="88" ht="15.75" customHeight="1"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</row>
    <row r="89" ht="15.75" customHeight="1"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</row>
    <row r="90" ht="15.75" customHeight="1"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</row>
    <row r="91" ht="15.75" customHeight="1"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</row>
    <row r="92" ht="15.75" customHeight="1"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</row>
    <row r="93" ht="15.75" customHeight="1"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</row>
    <row r="94" ht="15.75" customHeight="1"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</row>
    <row r="95" ht="15.75" customHeight="1"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</row>
    <row r="96" ht="15.75" customHeight="1"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</row>
    <row r="97" ht="15.75" customHeight="1"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</row>
    <row r="98" ht="15.75" customHeight="1"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</row>
    <row r="99" ht="15.75" customHeight="1"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</row>
    <row r="100" ht="15.75" customHeight="1"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 ht="15.75" customHeight="1"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</row>
    <row r="102" ht="15.75" customHeight="1"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</row>
    <row r="103" ht="15.75" customHeight="1"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</row>
    <row r="104" ht="15.75" customHeight="1"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</row>
    <row r="105" ht="15.75" customHeight="1"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</row>
    <row r="106" ht="15.75" customHeight="1"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</row>
    <row r="107" ht="15.75" customHeight="1"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</row>
    <row r="108" ht="15.75" customHeight="1"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</row>
    <row r="109" ht="15.75" customHeight="1"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</row>
    <row r="110" ht="15.75" customHeight="1"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</row>
    <row r="111" ht="15.75" customHeight="1"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</row>
    <row r="112" ht="15.75" customHeight="1"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</row>
    <row r="113" ht="15.75" customHeight="1"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</row>
    <row r="114" ht="15.75" customHeight="1"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</row>
    <row r="115" ht="15.75" customHeight="1"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</row>
    <row r="116" ht="15.75" customHeight="1"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</row>
    <row r="117" ht="15.75" customHeight="1"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</row>
    <row r="118" ht="15.75" customHeight="1"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</row>
    <row r="119" ht="15.75" customHeight="1"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</row>
    <row r="120" ht="15.75" customHeight="1"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</row>
    <row r="121" ht="15.75" customHeight="1"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</row>
    <row r="122" ht="15.75" customHeight="1"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</row>
    <row r="123" ht="15.75" customHeight="1"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</row>
    <row r="124" ht="15.75" customHeight="1"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 ht="15.75" customHeight="1"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</row>
    <row r="126" ht="15.75" customHeight="1"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</row>
    <row r="127" ht="15.75" customHeight="1"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</row>
    <row r="128" ht="15.75" customHeight="1"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</row>
    <row r="129" ht="15.75" customHeight="1"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</row>
    <row r="130" ht="15.75" customHeight="1"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</row>
    <row r="131" ht="15.75" customHeight="1"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</row>
    <row r="132" ht="15.75" customHeight="1"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</row>
    <row r="133" ht="15.75" customHeight="1"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</row>
    <row r="134" ht="15.75" customHeight="1"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</row>
    <row r="135" ht="15.75" customHeight="1"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</row>
    <row r="136" ht="15.75" customHeight="1"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</row>
    <row r="137" ht="15.75" customHeight="1"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</row>
    <row r="138" ht="15.75" customHeight="1"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</row>
    <row r="139" ht="15.75" customHeight="1"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</row>
    <row r="140" ht="15.75" customHeight="1"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</row>
    <row r="141" ht="15.75" customHeight="1"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</row>
    <row r="142" ht="15.75" customHeight="1"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</row>
    <row r="143" ht="15.75" customHeight="1"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</row>
    <row r="144" ht="15.75" customHeight="1"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</row>
    <row r="145" ht="15.75" customHeight="1"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</row>
    <row r="146" ht="15.75" customHeight="1"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</row>
    <row r="147" ht="15.75" customHeight="1"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</row>
    <row r="148" ht="15.75" customHeight="1"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</row>
    <row r="149" ht="15.75" customHeight="1"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</row>
    <row r="150" ht="15.75" customHeight="1"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</row>
    <row r="151" ht="15.75" customHeight="1"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</row>
    <row r="152" ht="15.75" customHeight="1"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</row>
    <row r="153" ht="15.75" customHeight="1"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</row>
    <row r="154" ht="15.75" customHeight="1"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</row>
    <row r="155" ht="15.75" customHeight="1"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</row>
    <row r="156" ht="15.75" customHeight="1"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</row>
    <row r="157" ht="15.75" customHeight="1"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</row>
    <row r="158" ht="15.75" customHeight="1"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</row>
    <row r="159" ht="15.75" customHeight="1"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</row>
    <row r="160" ht="15.75" customHeight="1"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</row>
    <row r="161" ht="15.75" customHeight="1"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</row>
    <row r="162" ht="15.75" customHeight="1"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</row>
    <row r="163" ht="15.75" customHeight="1"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</row>
    <row r="164" ht="15.75" customHeight="1"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</row>
    <row r="165" ht="15.75" customHeight="1"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</row>
    <row r="166" ht="15.75" customHeight="1"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</row>
    <row r="167" ht="15.75" customHeight="1"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</row>
    <row r="168" ht="15.75" customHeight="1"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</row>
    <row r="169" ht="15.75" customHeight="1"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</row>
    <row r="170" ht="15.75" customHeight="1"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</row>
    <row r="171" ht="15.75" customHeight="1"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</row>
    <row r="172" ht="15.75" customHeight="1"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</row>
    <row r="173" ht="15.75" customHeight="1"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</row>
    <row r="174" ht="15.75" customHeight="1"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</row>
    <row r="175" ht="15.75" customHeight="1"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</row>
    <row r="176" ht="15.75" customHeight="1"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</row>
    <row r="177" ht="15.75" customHeight="1"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</row>
    <row r="178" ht="15.75" customHeight="1"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</row>
    <row r="179" ht="15.75" customHeight="1"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</row>
    <row r="180" ht="15.75" customHeight="1"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</row>
    <row r="181" ht="15.75" customHeight="1"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</row>
    <row r="182" ht="15.75" customHeight="1"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</row>
    <row r="183" ht="15.75" customHeight="1"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</row>
    <row r="184" ht="15.75" customHeight="1"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</row>
    <row r="185" ht="15.75" customHeight="1"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</row>
    <row r="186" ht="15.75" customHeight="1"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</row>
    <row r="187" ht="15.75" customHeight="1"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</row>
    <row r="188" ht="15.75" customHeight="1"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</row>
    <row r="189" ht="15.75" customHeight="1"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</row>
    <row r="190" ht="15.75" customHeight="1"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</row>
    <row r="191" ht="15.75" customHeight="1"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</row>
    <row r="192" ht="15.75" customHeight="1"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</row>
    <row r="193" ht="15.75" customHeight="1"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</row>
    <row r="194" ht="15.75" customHeight="1"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</row>
    <row r="195" ht="15.75" customHeight="1"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</row>
    <row r="196" ht="15.75" customHeight="1"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</row>
    <row r="197" ht="15.75" customHeight="1"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</row>
    <row r="198" ht="15.75" customHeight="1"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</row>
    <row r="199" ht="15.75" customHeight="1"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</row>
    <row r="200" ht="15.75" customHeight="1"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</row>
    <row r="201" ht="15.75" customHeight="1"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</row>
    <row r="202" ht="15.75" customHeight="1"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</row>
    <row r="203" ht="15.75" customHeight="1"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</row>
    <row r="204" ht="15.75" customHeight="1"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</row>
    <row r="205" ht="15.75" customHeight="1"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</row>
    <row r="206" ht="15.75" customHeight="1"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</row>
    <row r="207" ht="15.75" customHeight="1"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</row>
    <row r="208" ht="15.75" customHeight="1"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</row>
    <row r="209" ht="15.75" customHeight="1"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</row>
    <row r="210" ht="15.75" customHeight="1"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</row>
    <row r="211" ht="15.75" customHeight="1"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</row>
    <row r="212" ht="15.75" customHeight="1"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</row>
    <row r="213" ht="15.75" customHeight="1"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</row>
    <row r="214" ht="15.75" customHeight="1"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</row>
    <row r="215" ht="15.75" customHeight="1"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</row>
    <row r="216" ht="15.75" customHeight="1"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</row>
    <row r="217" ht="15.75" customHeight="1"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</row>
    <row r="218" ht="15.75" customHeight="1"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</row>
    <row r="219" ht="15.75" customHeight="1"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</row>
    <row r="220" ht="15.75" customHeight="1"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</row>
    <row r="221" ht="15.75" customHeight="1"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</row>
    <row r="222" ht="15.75" customHeight="1"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</row>
    <row r="223" ht="15.75" customHeight="1"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</row>
    <row r="224" ht="15.75" customHeight="1"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</row>
    <row r="225" ht="15.75" customHeight="1"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</row>
    <row r="226" ht="15.75" customHeight="1"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</row>
    <row r="227" ht="15.75" customHeight="1"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</row>
    <row r="228" ht="15.75" customHeight="1"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</row>
    <row r="229" ht="15.75" customHeight="1"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</row>
    <row r="230" ht="15.75" customHeight="1"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</row>
    <row r="231" ht="15.75" customHeight="1"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</row>
    <row r="232" ht="15.75" customHeight="1"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</row>
    <row r="233" ht="15.75" customHeight="1"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</row>
    <row r="234" ht="15.75" customHeight="1"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</row>
    <row r="235" ht="15.75" customHeight="1"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</row>
    <row r="236" ht="15.75" customHeight="1"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</row>
    <row r="237" ht="15.75" customHeight="1"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</row>
    <row r="238" ht="15.75" customHeight="1"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</row>
    <row r="239" ht="15.75" customHeight="1"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</row>
    <row r="240" ht="15.75" customHeight="1"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</row>
    <row r="241" ht="15.75" customHeight="1"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</row>
    <row r="242" ht="15.75" customHeight="1"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</row>
    <row r="243" ht="15.75" customHeight="1"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</row>
    <row r="244" ht="15.75" customHeight="1"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</row>
    <row r="245" ht="15.75" customHeight="1"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</row>
    <row r="246" ht="15.75" customHeight="1"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</row>
    <row r="247" ht="15.75" customHeight="1"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</row>
    <row r="248" ht="15.75" customHeight="1"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</row>
    <row r="249" ht="15.75" customHeight="1"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</row>
    <row r="250" ht="15.75" customHeight="1"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</row>
    <row r="251" ht="15.75" customHeight="1"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</row>
    <row r="252" ht="15.75" customHeight="1"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</row>
    <row r="253" ht="15.75" customHeight="1"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</row>
    <row r="254" ht="15.75" customHeight="1"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</row>
    <row r="255" ht="15.75" customHeight="1"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</row>
    <row r="256" ht="15.75" customHeight="1"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</row>
    <row r="257" ht="15.75" customHeight="1"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</row>
    <row r="258" ht="15.75" customHeight="1"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</row>
    <row r="259" ht="15.75" customHeight="1"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</row>
    <row r="260" ht="15.75" customHeight="1"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</row>
    <row r="261" ht="15.75" customHeight="1"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</row>
    <row r="262" ht="15.75" customHeight="1"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</row>
    <row r="263" ht="15.75" customHeight="1"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</row>
    <row r="264" ht="15.75" customHeight="1"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</row>
    <row r="265" ht="15.75" customHeight="1"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</row>
    <row r="266" ht="15.75" customHeight="1"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</row>
    <row r="267" ht="15.75" customHeight="1"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</row>
    <row r="268" ht="15.75" customHeight="1"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</row>
    <row r="269" ht="15.75" customHeight="1"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</row>
    <row r="270" ht="15.75" customHeight="1"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</row>
    <row r="271" ht="15.75" customHeight="1"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</row>
    <row r="272" ht="15.75" customHeight="1"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</row>
    <row r="273" ht="15.75" customHeight="1"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</row>
    <row r="274" ht="15.75" customHeight="1"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</row>
    <row r="275" ht="15.75" customHeight="1"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</row>
    <row r="276" ht="15.75" customHeight="1"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</row>
    <row r="277" ht="15.75" customHeight="1"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</row>
    <row r="278" ht="15.75" customHeight="1"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</row>
    <row r="279" ht="15.75" customHeight="1"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</row>
    <row r="280" ht="15.75" customHeight="1"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</row>
    <row r="281" ht="15.75" customHeight="1"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</row>
    <row r="282" ht="15.75" customHeight="1"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</row>
    <row r="283" ht="15.75" customHeight="1"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</row>
    <row r="284" ht="15.75" customHeight="1"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</row>
    <row r="285" ht="15.75" customHeight="1"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</row>
    <row r="286" ht="15.75" customHeight="1"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</row>
    <row r="287" ht="15.75" customHeight="1"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</row>
    <row r="288" ht="15.75" customHeight="1"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</row>
    <row r="289" ht="15.75" customHeight="1"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</row>
    <row r="290" ht="15.75" customHeight="1"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</row>
    <row r="291" ht="15.75" customHeight="1"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</row>
    <row r="292" ht="15.75" customHeight="1"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</row>
    <row r="293" ht="15.75" customHeight="1"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</row>
    <row r="294" ht="15.75" customHeight="1"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</row>
    <row r="295" ht="15.75" customHeight="1"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</row>
    <row r="296" ht="15.75" customHeight="1"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</row>
    <row r="297" ht="15.75" customHeight="1"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</row>
    <row r="298" ht="15.75" customHeight="1"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</row>
    <row r="299" ht="15.75" customHeight="1"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</row>
    <row r="300" ht="15.75" customHeight="1"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</row>
    <row r="301" ht="15.75" customHeight="1"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</row>
    <row r="302" ht="15.75" customHeight="1"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</row>
    <row r="303" ht="15.75" customHeight="1"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</row>
    <row r="304" ht="15.75" customHeight="1"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</row>
    <row r="305" ht="15.75" customHeight="1"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</row>
    <row r="306" ht="15.75" customHeight="1"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</row>
    <row r="307" ht="15.75" customHeight="1"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</row>
    <row r="308" ht="15.75" customHeight="1"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</row>
    <row r="309" ht="15.75" customHeight="1"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</row>
    <row r="310" ht="15.75" customHeight="1"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</row>
    <row r="311" ht="15.75" customHeight="1"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</row>
    <row r="312" ht="15.75" customHeight="1"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</row>
    <row r="313" ht="15.75" customHeight="1"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</row>
    <row r="314" ht="15.75" customHeight="1"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</row>
    <row r="315" ht="15.75" customHeight="1"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</row>
    <row r="316" ht="15.75" customHeight="1"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</row>
    <row r="317" ht="15.75" customHeight="1"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</row>
    <row r="318" ht="15.75" customHeight="1"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</row>
    <row r="319" ht="15.75" customHeight="1"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</row>
    <row r="320" ht="15.75" customHeight="1"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</row>
    <row r="321" ht="15.75" customHeight="1"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</row>
    <row r="322" ht="15.75" customHeight="1"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</row>
    <row r="323" ht="15.75" customHeight="1"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</row>
    <row r="324" ht="15.75" customHeight="1"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</row>
    <row r="325" ht="15.75" customHeight="1"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</row>
    <row r="326" ht="15.75" customHeight="1"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</row>
    <row r="327" ht="15.75" customHeight="1"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</row>
    <row r="328" ht="15.75" customHeight="1"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</row>
    <row r="329" ht="15.75" customHeight="1"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</row>
    <row r="330" ht="15.75" customHeight="1"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</row>
    <row r="331" ht="15.75" customHeight="1"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</row>
    <row r="332" ht="15.75" customHeight="1"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</row>
    <row r="333" ht="15.75" customHeight="1"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</row>
    <row r="334" ht="15.75" customHeight="1"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</row>
    <row r="335" ht="15.75" customHeight="1"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</row>
    <row r="336" ht="15.75" customHeight="1"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</row>
    <row r="337" ht="15.75" customHeight="1"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</row>
    <row r="338" ht="15.75" customHeight="1"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</row>
    <row r="339" ht="15.75" customHeight="1"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</row>
    <row r="340" ht="15.75" customHeight="1"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</row>
    <row r="341" ht="15.75" customHeight="1"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</row>
    <row r="342" ht="15.75" customHeight="1"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</row>
    <row r="343" ht="15.75" customHeight="1"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</row>
    <row r="344" ht="15.75" customHeight="1"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</row>
    <row r="345" ht="15.75" customHeight="1"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</row>
    <row r="346" ht="15.75" customHeight="1"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</row>
    <row r="347" ht="15.75" customHeight="1"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</row>
    <row r="348" ht="15.75" customHeight="1"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</row>
    <row r="349" ht="15.75" customHeight="1"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</row>
    <row r="350" ht="15.75" customHeight="1"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</row>
    <row r="351" ht="15.75" customHeight="1"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</row>
    <row r="352" ht="15.75" customHeight="1"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</row>
    <row r="353" ht="15.75" customHeight="1"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</row>
    <row r="354" ht="15.75" customHeight="1"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</row>
    <row r="355" ht="15.75" customHeight="1"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</row>
    <row r="356" ht="15.75" customHeight="1"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</row>
    <row r="357" ht="15.75" customHeight="1"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</row>
    <row r="358" ht="15.75" customHeight="1"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</row>
    <row r="359" ht="15.75" customHeight="1"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</row>
    <row r="360" ht="15.75" customHeight="1"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</row>
    <row r="361" ht="15.75" customHeight="1"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</row>
    <row r="362" ht="15.75" customHeight="1"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</row>
    <row r="363" ht="15.75" customHeight="1"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</row>
    <row r="364" ht="15.75" customHeight="1"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</row>
    <row r="365" ht="15.75" customHeight="1"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</row>
    <row r="366" ht="15.75" customHeight="1"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</row>
    <row r="367" ht="15.75" customHeight="1"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</row>
    <row r="368" ht="15.75" customHeight="1"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</row>
    <row r="369" ht="15.75" customHeight="1"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</row>
    <row r="370" ht="15.75" customHeight="1"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</row>
    <row r="371" ht="15.75" customHeight="1"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</row>
    <row r="372" ht="15.75" customHeight="1"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</row>
    <row r="373" ht="15.75" customHeight="1"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</row>
    <row r="374" ht="15.75" customHeight="1"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</row>
    <row r="375" ht="15.75" customHeight="1"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</row>
    <row r="376" ht="15.75" customHeight="1"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</row>
    <row r="377" ht="15.75" customHeight="1"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</row>
    <row r="378" ht="15.75" customHeight="1"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</row>
    <row r="379" ht="15.75" customHeight="1"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</row>
    <row r="380" ht="15.75" customHeight="1"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</row>
    <row r="381" ht="15.75" customHeight="1"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</row>
    <row r="382" ht="15.75" customHeight="1"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</row>
    <row r="383" ht="15.75" customHeight="1"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</row>
    <row r="384" ht="15.75" customHeight="1"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</row>
    <row r="385" ht="15.75" customHeight="1"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</row>
    <row r="386" ht="15.75" customHeight="1"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</row>
    <row r="387" ht="15.75" customHeight="1"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</row>
    <row r="388" ht="15.75" customHeight="1"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</row>
    <row r="389" ht="15.75" customHeight="1"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</row>
    <row r="390" ht="15.75" customHeight="1"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</row>
    <row r="391" ht="15.75" customHeight="1"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</row>
    <row r="392" ht="15.75" customHeight="1"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</row>
    <row r="393" ht="15.75" customHeight="1"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</row>
    <row r="394" ht="15.75" customHeight="1"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</row>
    <row r="395" ht="15.75" customHeight="1"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</row>
    <row r="396" ht="15.75" customHeight="1"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</row>
    <row r="397" ht="15.75" customHeight="1"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</row>
    <row r="398" ht="15.75" customHeight="1"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</row>
    <row r="399" ht="15.75" customHeight="1"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</row>
    <row r="400" ht="15.75" customHeight="1"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</row>
    <row r="401" ht="15.75" customHeight="1"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</row>
    <row r="402" ht="15.75" customHeight="1"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</row>
    <row r="403" ht="15.75" customHeight="1"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</row>
    <row r="404" ht="15.75" customHeight="1"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</row>
    <row r="405" ht="15.75" customHeight="1"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</row>
    <row r="406" ht="15.75" customHeight="1"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</row>
    <row r="407" ht="15.75" customHeight="1"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</row>
    <row r="408" ht="15.75" customHeight="1"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</row>
    <row r="409" ht="15.75" customHeight="1"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</row>
    <row r="410" ht="15.75" customHeight="1"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</row>
    <row r="411" ht="15.75" customHeight="1"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</row>
    <row r="412" ht="15.75" customHeight="1"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</row>
    <row r="413" ht="15.75" customHeight="1"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</row>
    <row r="414" ht="15.75" customHeight="1"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</row>
    <row r="415" ht="15.75" customHeight="1"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</row>
    <row r="416" ht="15.75" customHeight="1"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</row>
    <row r="417" ht="15.75" customHeight="1"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</row>
    <row r="418" ht="15.75" customHeight="1"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</row>
    <row r="419" ht="15.75" customHeight="1"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</row>
    <row r="420" ht="15.75" customHeight="1"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</row>
    <row r="421" ht="15.75" customHeight="1"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</row>
    <row r="422" ht="15.75" customHeight="1"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</row>
    <row r="423" ht="15.75" customHeight="1"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</row>
    <row r="424" ht="15.75" customHeight="1"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</row>
    <row r="425" ht="15.75" customHeight="1"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</row>
    <row r="426" ht="15.75" customHeight="1"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</row>
    <row r="427" ht="15.75" customHeight="1"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</row>
    <row r="428" ht="15.75" customHeight="1"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</row>
    <row r="429" ht="15.75" customHeight="1"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</row>
    <row r="430" ht="15.75" customHeight="1"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</row>
    <row r="431" ht="15.75" customHeight="1"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</row>
    <row r="432" ht="15.75" customHeight="1"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</row>
    <row r="433" ht="15.75" customHeight="1"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</row>
    <row r="434" ht="15.75" customHeight="1"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</row>
    <row r="435" ht="15.75" customHeight="1"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</row>
    <row r="436" ht="15.75" customHeight="1"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</row>
    <row r="437" ht="15.75" customHeight="1"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</row>
    <row r="438" ht="15.75" customHeight="1"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</row>
    <row r="439" ht="15.75" customHeight="1"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</row>
    <row r="440" ht="15.75" customHeight="1"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</row>
    <row r="441" ht="15.75" customHeight="1"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</row>
    <row r="442" ht="15.75" customHeight="1"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</row>
    <row r="443" ht="15.75" customHeight="1"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</row>
    <row r="444" ht="15.75" customHeight="1"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</row>
    <row r="445" ht="15.75" customHeight="1"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</row>
    <row r="446" ht="15.75" customHeight="1"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</row>
    <row r="447" ht="15.75" customHeight="1"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</row>
    <row r="448" ht="15.75" customHeight="1"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</row>
    <row r="449" ht="15.75" customHeight="1"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</row>
    <row r="450" ht="15.75" customHeight="1"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</row>
    <row r="451" ht="15.75" customHeight="1"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</row>
    <row r="452" ht="15.75" customHeight="1"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</row>
    <row r="453" ht="15.75" customHeight="1"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</row>
    <row r="454" ht="15.75" customHeight="1"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</row>
    <row r="455" ht="15.75" customHeight="1"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</row>
    <row r="456" ht="15.75" customHeight="1"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</row>
    <row r="457" ht="15.75" customHeight="1"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</row>
    <row r="458" ht="15.75" customHeight="1"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</row>
    <row r="459" ht="15.75" customHeight="1"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</row>
    <row r="460" ht="15.75" customHeight="1"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</row>
    <row r="461" ht="15.75" customHeight="1"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</row>
    <row r="462" ht="15.75" customHeight="1"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</row>
    <row r="463" ht="15.75" customHeight="1"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</row>
    <row r="464" ht="15.75" customHeight="1"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</row>
    <row r="465" ht="15.75" customHeight="1"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</row>
    <row r="466" ht="15.75" customHeight="1"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</row>
    <row r="467" ht="15.75" customHeight="1"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</row>
    <row r="468" ht="15.75" customHeight="1"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</row>
    <row r="469" ht="15.75" customHeight="1"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</row>
    <row r="470" ht="15.75" customHeight="1"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</row>
    <row r="471" ht="15.75" customHeight="1"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</row>
    <row r="472" ht="15.75" customHeight="1"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</row>
    <row r="473" ht="15.75" customHeight="1"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</row>
    <row r="474" ht="15.75" customHeight="1"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</row>
    <row r="475" ht="15.75" customHeight="1"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</row>
    <row r="476" ht="15.75" customHeight="1"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</row>
    <row r="477" ht="15.75" customHeight="1"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</row>
    <row r="478" ht="15.75" customHeight="1"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</row>
    <row r="479" ht="15.75" customHeight="1"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</row>
    <row r="480" ht="15.75" customHeight="1"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</row>
    <row r="481" ht="15.75" customHeight="1"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</row>
    <row r="482" ht="15.75" customHeight="1"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</row>
    <row r="483" ht="15.75" customHeight="1"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</row>
    <row r="484" ht="15.75" customHeight="1"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</row>
    <row r="485" ht="15.75" customHeight="1"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</row>
    <row r="486" ht="15.75" customHeight="1"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</row>
    <row r="487" ht="15.75" customHeight="1"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</row>
    <row r="488" ht="15.75" customHeight="1"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</row>
    <row r="489" ht="15.75" customHeight="1"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</row>
    <row r="490" ht="15.75" customHeight="1"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</row>
    <row r="491" ht="15.75" customHeight="1"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</row>
    <row r="492" ht="15.75" customHeight="1"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</row>
    <row r="493" ht="15.75" customHeight="1"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</row>
    <row r="494" ht="15.75" customHeight="1"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</row>
    <row r="495" ht="15.75" customHeight="1"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</row>
    <row r="496" ht="15.75" customHeight="1"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</row>
    <row r="497" ht="15.75" customHeight="1"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</row>
    <row r="498" ht="15.75" customHeight="1"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</row>
    <row r="499" ht="15.75" customHeight="1"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</row>
    <row r="500" ht="15.75" customHeight="1"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</row>
    <row r="501" ht="15.75" customHeight="1"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</row>
    <row r="502" ht="15.75" customHeight="1"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</row>
    <row r="503" ht="15.75" customHeight="1"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</row>
    <row r="504" ht="15.75" customHeight="1"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</row>
    <row r="505" ht="15.75" customHeight="1"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</row>
    <row r="506" ht="15.75" customHeight="1"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</row>
    <row r="507" ht="15.75" customHeight="1"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</row>
    <row r="508" ht="15.75" customHeight="1"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</row>
    <row r="509" ht="15.75" customHeight="1"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</row>
    <row r="510" ht="15.75" customHeight="1"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</row>
    <row r="511" ht="15.75" customHeight="1"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</row>
    <row r="512" ht="15.75" customHeight="1"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</row>
    <row r="513" ht="15.75" customHeight="1"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</row>
    <row r="514" ht="15.75" customHeight="1"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</row>
    <row r="515" ht="15.75" customHeight="1"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</row>
    <row r="516" ht="15.75" customHeight="1"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</row>
    <row r="517" ht="15.75" customHeight="1"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</row>
    <row r="518" ht="15.75" customHeight="1"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</row>
    <row r="519" ht="15.75" customHeight="1"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</row>
    <row r="520" ht="15.75" customHeight="1"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</row>
    <row r="521" ht="15.75" customHeight="1"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</row>
    <row r="522" ht="15.75" customHeight="1"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</row>
    <row r="523" ht="15.75" customHeight="1"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</row>
    <row r="524" ht="15.75" customHeight="1"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</row>
    <row r="525" ht="15.75" customHeight="1"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</row>
    <row r="526" ht="15.75" customHeight="1"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</row>
    <row r="527" ht="15.75" customHeight="1"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</row>
    <row r="528" ht="15.75" customHeight="1"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</row>
    <row r="529" ht="15.75" customHeight="1"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</row>
    <row r="530" ht="15.75" customHeight="1"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</row>
    <row r="531" ht="15.75" customHeight="1"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</row>
    <row r="532" ht="15.75" customHeight="1"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</row>
    <row r="533" ht="15.75" customHeight="1"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</row>
    <row r="534" ht="15.75" customHeight="1"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</row>
    <row r="535" ht="15.75" customHeight="1"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</row>
    <row r="536" ht="15.75" customHeight="1"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</row>
    <row r="537" ht="15.75" customHeight="1"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</row>
    <row r="538" ht="15.75" customHeight="1"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</row>
    <row r="539" ht="15.75" customHeight="1"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</row>
    <row r="540" ht="15.75" customHeight="1"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</row>
    <row r="541" ht="15.75" customHeight="1"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</row>
    <row r="542" ht="15.75" customHeight="1"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</row>
    <row r="543" ht="15.75" customHeight="1"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</row>
    <row r="544" ht="15.75" customHeight="1"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</row>
    <row r="545" ht="15.75" customHeight="1"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</row>
    <row r="546" ht="15.75" customHeight="1"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</row>
    <row r="547" ht="15.75" customHeight="1"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</row>
    <row r="548" ht="15.75" customHeight="1"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</row>
    <row r="549" ht="15.75" customHeight="1"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</row>
    <row r="550" ht="15.75" customHeight="1"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</row>
    <row r="551" ht="15.75" customHeight="1"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</row>
    <row r="552" ht="15.75" customHeight="1"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</row>
    <row r="553" ht="15.75" customHeight="1"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</row>
    <row r="554" ht="15.75" customHeight="1"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</row>
    <row r="555" ht="15.75" customHeight="1"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</row>
    <row r="556" ht="15.75" customHeight="1"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</row>
    <row r="557" ht="15.75" customHeight="1"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</row>
    <row r="558" ht="15.75" customHeight="1"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</row>
    <row r="559" ht="15.75" customHeight="1"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</row>
    <row r="560" ht="15.75" customHeight="1"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</row>
    <row r="561" ht="15.75" customHeight="1"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</row>
    <row r="562" ht="15.75" customHeight="1"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</row>
    <row r="563" ht="15.75" customHeight="1"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</row>
    <row r="564" ht="15.75" customHeight="1"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</row>
    <row r="565" ht="15.75" customHeight="1"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</row>
    <row r="566" ht="15.75" customHeight="1"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</row>
    <row r="567" ht="15.75" customHeight="1"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</row>
    <row r="568" ht="15.75" customHeight="1"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</row>
    <row r="569" ht="15.75" customHeight="1"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</row>
    <row r="570" ht="15.75" customHeight="1"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</row>
    <row r="571" ht="15.75" customHeight="1"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</row>
    <row r="572" ht="15.75" customHeight="1"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</row>
    <row r="573" ht="15.75" customHeight="1"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</row>
    <row r="574" ht="15.75" customHeight="1"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</row>
    <row r="575" ht="15.75" customHeight="1"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</row>
    <row r="576" ht="15.75" customHeight="1"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</row>
    <row r="577" ht="15.75" customHeight="1"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</row>
    <row r="578" ht="15.75" customHeight="1"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</row>
    <row r="579" ht="15.75" customHeight="1"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</row>
    <row r="580" ht="15.75" customHeight="1"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</row>
    <row r="581" ht="15.75" customHeight="1"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</row>
    <row r="582" ht="15.75" customHeight="1"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</row>
    <row r="583" ht="15.75" customHeight="1"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</row>
    <row r="584" ht="15.75" customHeight="1"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</row>
    <row r="585" ht="15.75" customHeight="1"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</row>
    <row r="586" ht="15.75" customHeight="1"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</row>
    <row r="587" ht="15.75" customHeight="1"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</row>
    <row r="588" ht="15.75" customHeight="1"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</row>
    <row r="589" ht="15.75" customHeight="1"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</row>
    <row r="590" ht="15.75" customHeight="1"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</row>
    <row r="591" ht="15.75" customHeight="1"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</row>
    <row r="592" ht="15.75" customHeight="1"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</row>
    <row r="593" ht="15.75" customHeight="1"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</row>
    <row r="594" ht="15.75" customHeight="1"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</row>
    <row r="595" ht="15.75" customHeight="1"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</row>
    <row r="596" ht="15.75" customHeight="1"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</row>
    <row r="597" ht="15.75" customHeight="1"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</row>
    <row r="598" ht="15.75" customHeight="1"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</row>
    <row r="599" ht="15.75" customHeight="1"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</row>
    <row r="600" ht="15.75" customHeight="1"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</row>
    <row r="601" ht="15.75" customHeight="1"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</row>
    <row r="602" ht="15.75" customHeight="1"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</row>
    <row r="603" ht="15.75" customHeight="1"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</row>
    <row r="604" ht="15.75" customHeight="1"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</row>
    <row r="605" ht="15.75" customHeight="1"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</row>
    <row r="606" ht="15.75" customHeight="1"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</row>
    <row r="607" ht="15.75" customHeight="1"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</row>
    <row r="608" ht="15.75" customHeight="1"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</row>
    <row r="609" ht="15.75" customHeight="1"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</row>
    <row r="610" ht="15.75" customHeight="1"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</row>
    <row r="611" ht="15.75" customHeight="1"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</row>
    <row r="612" ht="15.75" customHeight="1"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</row>
    <row r="613" ht="15.75" customHeight="1"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</row>
    <row r="614" ht="15.75" customHeight="1"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</row>
    <row r="615" ht="15.75" customHeight="1"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</row>
    <row r="616" ht="15.75" customHeight="1"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</row>
    <row r="617" ht="15.75" customHeight="1"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</row>
    <row r="618" ht="15.75" customHeight="1"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</row>
    <row r="619" ht="15.75" customHeight="1"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</row>
    <row r="620" ht="15.75" customHeight="1"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</row>
    <row r="621" ht="15.75" customHeight="1"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</row>
    <row r="622" ht="15.75" customHeight="1"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</row>
    <row r="623" ht="15.75" customHeight="1"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</row>
    <row r="624" ht="15.75" customHeight="1"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</row>
    <row r="625" ht="15.75" customHeight="1"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</row>
    <row r="626" ht="15.75" customHeight="1"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</row>
    <row r="627" ht="15.75" customHeight="1"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</row>
    <row r="628" ht="15.75" customHeight="1"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</row>
    <row r="629" ht="15.75" customHeight="1"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</row>
    <row r="630" ht="15.75" customHeight="1"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</row>
    <row r="631" ht="15.75" customHeight="1"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</row>
    <row r="632" ht="15.75" customHeight="1"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</row>
    <row r="633" ht="15.75" customHeight="1"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</row>
    <row r="634" ht="15.75" customHeight="1"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</row>
    <row r="635" ht="15.75" customHeight="1"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</row>
    <row r="636" ht="15.75" customHeight="1"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</row>
    <row r="637" ht="15.75" customHeight="1"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</row>
    <row r="638" ht="15.75" customHeight="1"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</row>
    <row r="639" ht="15.75" customHeight="1"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</row>
    <row r="640" ht="15.75" customHeight="1"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</row>
    <row r="641" ht="15.75" customHeight="1"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</row>
    <row r="642" ht="15.75" customHeight="1"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</row>
    <row r="643" ht="15.75" customHeight="1"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</row>
    <row r="644" ht="15.75" customHeight="1"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</row>
    <row r="645" ht="15.75" customHeight="1"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</row>
    <row r="646" ht="15.75" customHeight="1"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</row>
    <row r="647" ht="15.75" customHeight="1"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</row>
    <row r="648" ht="15.75" customHeight="1"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</row>
    <row r="649" ht="15.75" customHeight="1"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</row>
    <row r="650" ht="15.75" customHeight="1"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</row>
    <row r="651" ht="15.75" customHeight="1"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</row>
    <row r="652" ht="15.75" customHeight="1"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</row>
    <row r="653" ht="15.75" customHeight="1"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</row>
    <row r="654" ht="15.75" customHeight="1"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</row>
    <row r="655" ht="15.75" customHeight="1"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</row>
    <row r="656" ht="15.75" customHeight="1"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</row>
    <row r="657" ht="15.75" customHeight="1"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</row>
    <row r="658" ht="15.75" customHeight="1"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</row>
    <row r="659" ht="15.75" customHeight="1"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</row>
    <row r="660" ht="15.75" customHeight="1"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</row>
    <row r="661" ht="15.75" customHeight="1"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</row>
    <row r="662" ht="15.75" customHeight="1"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</row>
    <row r="663" ht="15.75" customHeight="1"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</row>
    <row r="664" ht="15.75" customHeight="1"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</row>
    <row r="665" ht="15.75" customHeight="1"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</row>
    <row r="666" ht="15.75" customHeight="1"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</row>
    <row r="667" ht="15.75" customHeight="1"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</row>
    <row r="668" ht="15.75" customHeight="1"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</row>
    <row r="669" ht="15.75" customHeight="1"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</row>
    <row r="670" ht="15.75" customHeight="1"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</row>
    <row r="671" ht="15.75" customHeight="1"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</row>
    <row r="672" ht="15.75" customHeight="1"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</row>
    <row r="673" ht="15.75" customHeight="1"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</row>
    <row r="674" ht="15.75" customHeight="1"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</row>
    <row r="675" ht="15.75" customHeight="1"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</row>
    <row r="676" ht="15.75" customHeight="1"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</row>
    <row r="677" ht="15.75" customHeight="1"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</row>
    <row r="678" ht="15.75" customHeight="1"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</row>
    <row r="679" ht="15.75" customHeight="1"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</row>
    <row r="680" ht="15.75" customHeight="1"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</row>
    <row r="681" ht="15.75" customHeight="1"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</row>
    <row r="682" ht="15.75" customHeight="1"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</row>
    <row r="683" ht="15.75" customHeight="1"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</row>
    <row r="684" ht="15.75" customHeight="1"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</row>
    <row r="685" ht="15.75" customHeight="1"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</row>
    <row r="686" ht="15.75" customHeight="1"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</row>
    <row r="687" ht="15.75" customHeight="1"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</row>
    <row r="688" ht="15.75" customHeight="1"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</row>
    <row r="689" ht="15.75" customHeight="1"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</row>
    <row r="690" ht="15.75" customHeight="1"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</row>
    <row r="691" ht="15.75" customHeight="1"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</row>
    <row r="692" ht="15.75" customHeight="1"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</row>
    <row r="693" ht="15.75" customHeight="1"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</row>
    <row r="694" ht="15.75" customHeight="1"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</row>
    <row r="695" ht="15.75" customHeight="1"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</row>
    <row r="696" ht="15.75" customHeight="1"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</row>
    <row r="697" ht="15.75" customHeight="1"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</row>
    <row r="698" ht="15.75" customHeight="1"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</row>
    <row r="699" ht="15.75" customHeight="1"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</row>
    <row r="700" ht="15.75" customHeight="1"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</row>
    <row r="701" ht="15.75" customHeight="1"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</row>
    <row r="702" ht="15.75" customHeight="1"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</row>
    <row r="703" ht="15.75" customHeight="1"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</row>
    <row r="704" ht="15.75" customHeight="1"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</row>
    <row r="705" ht="15.75" customHeight="1"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</row>
    <row r="706" ht="15.75" customHeight="1"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</row>
    <row r="707" ht="15.75" customHeight="1"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</row>
    <row r="708" ht="15.75" customHeight="1"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</row>
    <row r="709" ht="15.75" customHeight="1"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</row>
    <row r="710" ht="15.75" customHeight="1"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</row>
    <row r="711" ht="15.75" customHeight="1"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</row>
    <row r="712" ht="15.75" customHeight="1"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</row>
    <row r="713" ht="15.75" customHeight="1"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</row>
    <row r="714" ht="15.75" customHeight="1"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</row>
    <row r="715" ht="15.75" customHeight="1"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</row>
    <row r="716" ht="15.75" customHeight="1"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</row>
    <row r="717" ht="15.75" customHeight="1"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</row>
    <row r="718" ht="15.75" customHeight="1"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</row>
    <row r="719" ht="15.75" customHeight="1"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</row>
    <row r="720" ht="15.75" customHeight="1"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</row>
    <row r="721" ht="15.75" customHeight="1"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</row>
    <row r="722" ht="15.75" customHeight="1"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</row>
    <row r="723" ht="15.75" customHeight="1"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</row>
    <row r="724" ht="15.75" customHeight="1"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</row>
    <row r="725" ht="15.75" customHeight="1"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</row>
    <row r="726" ht="15.75" customHeight="1"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</row>
    <row r="727" ht="15.75" customHeight="1"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</row>
    <row r="728" ht="15.75" customHeight="1"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</row>
    <row r="729" ht="15.75" customHeight="1"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</row>
    <row r="730" ht="15.75" customHeight="1"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</row>
    <row r="731" ht="15.75" customHeight="1"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</row>
    <row r="732" ht="15.75" customHeight="1"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</row>
    <row r="733" ht="15.75" customHeight="1"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</row>
    <row r="734" ht="15.75" customHeight="1"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</row>
    <row r="735" ht="15.75" customHeight="1"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</row>
    <row r="736" ht="15.75" customHeight="1"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</row>
    <row r="737" ht="15.75" customHeight="1"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</row>
    <row r="738" ht="15.75" customHeight="1"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</row>
    <row r="739" ht="15.75" customHeight="1"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</row>
    <row r="740" ht="15.75" customHeight="1"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</row>
    <row r="741" ht="15.75" customHeight="1"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</row>
    <row r="742" ht="15.75" customHeight="1"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</row>
    <row r="743" ht="15.75" customHeight="1"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</row>
    <row r="744" ht="15.75" customHeight="1"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</row>
    <row r="745" ht="15.75" customHeight="1"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</row>
    <row r="746" ht="15.75" customHeight="1"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</row>
    <row r="747" ht="15.75" customHeight="1"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</row>
    <row r="748" ht="15.75" customHeight="1"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</row>
    <row r="749" ht="15.75" customHeight="1"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</row>
    <row r="750" ht="15.75" customHeight="1"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</row>
    <row r="751" ht="15.75" customHeight="1"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</row>
    <row r="752" ht="15.75" customHeight="1"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</row>
    <row r="753" ht="15.75" customHeight="1"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</row>
    <row r="754" ht="15.75" customHeight="1"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</row>
    <row r="755" ht="15.75" customHeight="1"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</row>
    <row r="756" ht="15.75" customHeight="1"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</row>
    <row r="757" ht="15.75" customHeight="1"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</row>
    <row r="758" ht="15.75" customHeight="1"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</row>
    <row r="759" ht="15.75" customHeight="1"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</row>
    <row r="760" ht="15.75" customHeight="1"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</row>
    <row r="761" ht="15.75" customHeight="1"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</row>
    <row r="762" ht="15.75" customHeight="1"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</row>
    <row r="763" ht="15.75" customHeight="1"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</row>
    <row r="764" ht="15.75" customHeight="1"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</row>
    <row r="765" ht="15.75" customHeight="1"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</row>
    <row r="766" ht="15.75" customHeight="1"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</row>
    <row r="767" ht="15.75" customHeight="1"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</row>
    <row r="768" ht="15.75" customHeight="1"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</row>
    <row r="769" ht="15.75" customHeight="1"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</row>
    <row r="770" ht="15.75" customHeight="1"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</row>
    <row r="771" ht="15.75" customHeight="1"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</row>
    <row r="772" ht="15.75" customHeight="1"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</row>
    <row r="773" ht="15.75" customHeight="1"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</row>
    <row r="774" ht="15.75" customHeight="1"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</row>
    <row r="775" ht="15.75" customHeight="1"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</row>
    <row r="776" ht="15.75" customHeight="1"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</row>
    <row r="777" ht="15.75" customHeight="1"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</row>
    <row r="778" ht="15.75" customHeight="1"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</row>
    <row r="779" ht="15.75" customHeight="1"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</row>
    <row r="780" ht="15.75" customHeight="1"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</row>
    <row r="781" ht="15.75" customHeight="1"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</row>
    <row r="782" ht="15.75" customHeight="1"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</row>
    <row r="783" ht="15.75" customHeight="1"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</row>
    <row r="784" ht="15.75" customHeight="1"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</row>
    <row r="785" ht="15.75" customHeight="1"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</row>
    <row r="786" ht="15.75" customHeight="1"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</row>
    <row r="787" ht="15.75" customHeight="1"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</row>
    <row r="788" ht="15.75" customHeight="1"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</row>
    <row r="789" ht="15.75" customHeight="1"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</row>
    <row r="790" ht="15.75" customHeight="1"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</row>
    <row r="791" ht="15.75" customHeight="1"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</row>
    <row r="792" ht="15.75" customHeight="1"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</row>
    <row r="793" ht="15.75" customHeight="1"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</row>
    <row r="794" ht="15.75" customHeight="1"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</row>
    <row r="795" ht="15.75" customHeight="1"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</row>
    <row r="796" ht="15.75" customHeight="1"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</row>
    <row r="797" ht="15.75" customHeight="1"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</row>
    <row r="798" ht="15.75" customHeight="1"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</row>
    <row r="799" ht="15.75" customHeight="1"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</row>
    <row r="800" ht="15.75" customHeight="1"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</row>
    <row r="801" ht="15.75" customHeight="1"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</row>
    <row r="802" ht="15.75" customHeight="1"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</row>
    <row r="803" ht="15.75" customHeight="1"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</row>
    <row r="804" ht="15.75" customHeight="1"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</row>
    <row r="805" ht="15.75" customHeight="1"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</row>
    <row r="806" ht="15.75" customHeight="1"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</row>
    <row r="807" ht="15.75" customHeight="1"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</row>
    <row r="808" ht="15.75" customHeight="1"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</row>
    <row r="809" ht="15.75" customHeight="1"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</row>
    <row r="810" ht="15.75" customHeight="1"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</row>
    <row r="811" ht="15.75" customHeight="1"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</row>
    <row r="812" ht="15.75" customHeight="1"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</row>
    <row r="813" ht="15.75" customHeight="1"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</row>
    <row r="814" ht="15.75" customHeight="1"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</row>
    <row r="815" ht="15.75" customHeight="1"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</row>
    <row r="816" ht="15.75" customHeight="1"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</row>
    <row r="817" ht="15.75" customHeight="1"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</row>
    <row r="818" ht="15.75" customHeight="1"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</row>
    <row r="819" ht="15.75" customHeight="1"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</row>
    <row r="820" ht="15.75" customHeight="1"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</row>
    <row r="821" ht="15.75" customHeight="1"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</row>
    <row r="822" ht="15.75" customHeight="1"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</row>
    <row r="823" ht="15.75" customHeight="1"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</row>
    <row r="824" ht="15.75" customHeight="1"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</row>
    <row r="825" ht="15.75" customHeight="1"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</row>
    <row r="826" ht="15.75" customHeight="1"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</row>
    <row r="827" ht="15.75" customHeight="1"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</row>
    <row r="828" ht="15.75" customHeight="1"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</row>
    <row r="829" ht="15.75" customHeight="1"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</row>
    <row r="830" ht="15.75" customHeight="1"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</row>
    <row r="831" ht="15.75" customHeight="1"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</row>
    <row r="832" ht="15.75" customHeight="1"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</row>
    <row r="833" ht="15.75" customHeight="1"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</row>
    <row r="834" ht="15.75" customHeight="1"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</row>
    <row r="835" ht="15.75" customHeight="1"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</row>
    <row r="836" ht="15.75" customHeight="1"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</row>
    <row r="837" ht="15.75" customHeight="1"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</row>
    <row r="838" ht="15.75" customHeight="1"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</row>
    <row r="839" ht="15.75" customHeight="1"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</row>
    <row r="840" ht="15.75" customHeight="1"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</row>
    <row r="841" ht="15.75" customHeight="1"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</row>
    <row r="842" ht="15.75" customHeight="1"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</row>
    <row r="843" ht="15.75" customHeight="1"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</row>
    <row r="844" ht="15.75" customHeight="1"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</row>
    <row r="845" ht="15.75" customHeight="1"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</row>
    <row r="846" ht="15.75" customHeight="1"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</row>
    <row r="847" ht="15.75" customHeight="1"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</row>
    <row r="848" ht="15.75" customHeight="1"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</row>
    <row r="849" ht="15.75" customHeight="1"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</row>
    <row r="850" ht="15.75" customHeight="1"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</row>
    <row r="851" ht="15.75" customHeight="1"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</row>
    <row r="852" ht="15.75" customHeight="1"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</row>
    <row r="853" ht="15.75" customHeight="1"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</row>
    <row r="854" ht="15.75" customHeight="1"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</row>
    <row r="855" ht="15.75" customHeight="1"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</row>
    <row r="856" ht="15.75" customHeight="1"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</row>
    <row r="857" ht="15.75" customHeight="1"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</row>
    <row r="858" ht="15.75" customHeight="1"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</row>
    <row r="859" ht="15.75" customHeight="1"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</row>
    <row r="860" ht="15.75" customHeight="1"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</row>
    <row r="861" ht="15.75" customHeight="1"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</row>
    <row r="862" ht="15.75" customHeight="1"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</row>
    <row r="863" ht="15.75" customHeight="1"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</row>
    <row r="864" ht="15.75" customHeight="1"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</row>
    <row r="865" ht="15.75" customHeight="1"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</row>
    <row r="866" ht="15.75" customHeight="1"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</row>
    <row r="867" ht="15.75" customHeight="1"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</row>
    <row r="868" ht="15.75" customHeight="1"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</row>
    <row r="869" ht="15.75" customHeight="1"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</row>
    <row r="870" ht="15.75" customHeight="1"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</row>
    <row r="871" ht="15.75" customHeight="1"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</row>
    <row r="872" ht="15.75" customHeight="1"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</row>
    <row r="873" ht="15.75" customHeight="1"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</row>
    <row r="874" ht="15.75" customHeight="1"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</row>
    <row r="875" ht="15.75" customHeight="1"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</row>
    <row r="876" ht="15.75" customHeight="1"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</row>
    <row r="877" ht="15.75" customHeight="1"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</row>
    <row r="878" ht="15.75" customHeight="1"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</row>
    <row r="879" ht="15.75" customHeight="1"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</row>
    <row r="880" ht="15.75" customHeight="1"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</row>
    <row r="881" ht="15.75" customHeight="1"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</row>
    <row r="882" ht="15.75" customHeight="1"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</row>
    <row r="883" ht="15.75" customHeight="1"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</row>
    <row r="884" ht="15.75" customHeight="1"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</row>
    <row r="885" ht="15.75" customHeight="1"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</row>
    <row r="886" ht="15.75" customHeight="1"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</row>
    <row r="887" ht="15.75" customHeight="1"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</row>
    <row r="888" ht="15.75" customHeight="1"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</row>
    <row r="889" ht="15.75" customHeight="1"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</row>
    <row r="890" ht="15.75" customHeight="1"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</row>
    <row r="891" ht="15.75" customHeight="1"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</row>
    <row r="892" ht="15.75" customHeight="1"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</row>
    <row r="893" ht="15.75" customHeight="1"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</row>
    <row r="894" ht="15.75" customHeight="1"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</row>
    <row r="895" ht="15.75" customHeight="1"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</row>
    <row r="896" ht="15.75" customHeight="1"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</row>
    <row r="897" ht="15.75" customHeight="1"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</row>
    <row r="898" ht="15.75" customHeight="1"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</row>
    <row r="899" ht="15.75" customHeight="1"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</row>
    <row r="900" ht="15.75" customHeight="1"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</row>
    <row r="901" ht="15.75" customHeight="1"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</row>
    <row r="902" ht="15.75" customHeight="1"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</row>
    <row r="903" ht="15.75" customHeight="1"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</row>
    <row r="904" ht="15.75" customHeight="1"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</row>
    <row r="905" ht="15.75" customHeight="1"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</row>
    <row r="906" ht="15.75" customHeight="1"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</row>
    <row r="907" ht="15.75" customHeight="1"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</row>
    <row r="908" ht="15.75" customHeight="1"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</row>
    <row r="909" ht="15.75" customHeight="1"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</row>
    <row r="910" ht="15.75" customHeight="1"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</row>
    <row r="911" ht="15.75" customHeight="1"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</row>
    <row r="912" ht="15.75" customHeight="1"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</row>
    <row r="913" ht="15.75" customHeight="1"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</row>
    <row r="914" ht="15.75" customHeight="1"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</row>
    <row r="915" ht="15.75" customHeight="1"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</row>
    <row r="916" ht="15.75" customHeight="1"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</row>
    <row r="917" ht="15.75" customHeight="1"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</row>
    <row r="918" ht="15.75" customHeight="1"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</row>
    <row r="919" ht="15.75" customHeight="1"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</row>
    <row r="920" ht="15.75" customHeight="1"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</row>
    <row r="921" ht="15.75" customHeight="1"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</row>
    <row r="922" ht="15.75" customHeight="1"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</row>
    <row r="923" ht="15.75" customHeight="1"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</row>
    <row r="924" ht="15.75" customHeight="1"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</row>
    <row r="925" ht="15.75" customHeight="1"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</row>
    <row r="926" ht="15.75" customHeight="1"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</row>
    <row r="927" ht="15.75" customHeight="1"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</row>
    <row r="928" ht="15.75" customHeight="1"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</row>
    <row r="929" ht="15.75" customHeight="1"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</row>
    <row r="930" ht="15.75" customHeight="1"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</row>
    <row r="931" ht="15.75" customHeight="1"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</row>
    <row r="932" ht="15.75" customHeight="1"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</row>
    <row r="933" ht="15.75" customHeight="1"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</row>
    <row r="934" ht="15.75" customHeight="1"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</row>
    <row r="935" ht="15.75" customHeight="1"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</row>
    <row r="936" ht="15.75" customHeight="1"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</row>
    <row r="937" ht="15.75" customHeight="1"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</row>
    <row r="938" ht="15.75" customHeight="1"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</row>
    <row r="939" ht="15.75" customHeight="1"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</row>
    <row r="940" ht="15.75" customHeight="1"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</row>
    <row r="941" ht="15.75" customHeight="1"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</row>
    <row r="942" ht="15.75" customHeight="1"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</row>
    <row r="943" ht="15.75" customHeight="1"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</row>
    <row r="944" ht="15.75" customHeight="1"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</row>
    <row r="945" ht="15.75" customHeight="1"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</row>
    <row r="946" ht="15.75" customHeight="1"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</row>
    <row r="947" ht="15.75" customHeight="1"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</row>
    <row r="948" ht="15.75" customHeight="1"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</row>
    <row r="949" ht="15.75" customHeight="1"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</row>
    <row r="950" ht="15.75" customHeight="1"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</row>
    <row r="951" ht="15.75" customHeight="1"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</row>
    <row r="952" ht="15.75" customHeight="1"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</row>
    <row r="953" ht="15.75" customHeight="1"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</row>
    <row r="954" ht="15.75" customHeight="1"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</row>
    <row r="955" ht="15.75" customHeight="1"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</row>
    <row r="956" ht="15.75" customHeight="1"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</row>
    <row r="957" ht="15.75" customHeight="1"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</row>
    <row r="958" ht="15.75" customHeight="1"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</row>
    <row r="959" ht="15.75" customHeight="1"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</row>
    <row r="960" ht="15.75" customHeight="1"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</row>
    <row r="961" ht="15.75" customHeight="1"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</row>
    <row r="962" ht="15.75" customHeight="1"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</row>
    <row r="963" ht="15.75" customHeight="1"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</row>
    <row r="964" ht="15.75" customHeight="1"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</row>
    <row r="965" ht="15.75" customHeight="1"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</row>
    <row r="966" ht="15.75" customHeight="1"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</row>
    <row r="967" ht="15.75" customHeight="1"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</row>
    <row r="968" ht="15.75" customHeight="1"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</row>
    <row r="969" ht="15.75" customHeight="1"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</row>
    <row r="970" ht="15.75" customHeight="1"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</row>
    <row r="971" ht="15.75" customHeight="1"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</row>
    <row r="972" ht="15.75" customHeight="1"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</row>
    <row r="973" ht="15.75" customHeight="1"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</row>
    <row r="974" ht="15.75" customHeight="1"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</row>
    <row r="975" ht="15.75" customHeight="1"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</row>
    <row r="976" ht="15.75" customHeight="1"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</row>
    <row r="977" ht="15.75" customHeight="1"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</row>
    <row r="978" ht="15.75" customHeight="1"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</row>
    <row r="979" ht="15.75" customHeight="1"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</row>
    <row r="980" ht="15.75" customHeight="1"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</row>
    <row r="981" ht="15.75" customHeight="1"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</row>
    <row r="982" ht="15.75" customHeight="1"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</row>
    <row r="983" ht="15.75" customHeight="1"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</row>
    <row r="984" ht="15.75" customHeight="1"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</row>
    <row r="985" ht="15.75" customHeight="1"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</row>
    <row r="986" ht="15.75" customHeight="1"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</row>
    <row r="987" ht="15.75" customHeight="1"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</row>
    <row r="988" ht="15.75" customHeight="1"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</row>
    <row r="989" ht="15.75" customHeight="1"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</row>
    <row r="990" ht="15.75" customHeight="1"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</row>
    <row r="991" ht="15.75" customHeight="1"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</row>
    <row r="992" ht="15.75" customHeight="1"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</row>
    <row r="993" ht="15.75" customHeight="1"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</row>
    <row r="994" ht="15.75" customHeight="1"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</row>
    <row r="995" ht="15.75" customHeight="1"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</row>
    <row r="996" ht="15.75" customHeight="1"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</row>
    <row r="997" ht="15.75" customHeight="1"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</row>
    <row r="998" ht="15.75" customHeight="1"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</row>
    <row r="999" ht="15.75" customHeight="1"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</row>
    <row r="1000" ht="15.75" customHeight="1"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</row>
  </sheetData>
  <mergeCells count="53">
    <mergeCell ref="A24:C25"/>
    <mergeCell ref="D25:E25"/>
    <mergeCell ref="A18:C19"/>
    <mergeCell ref="D19:E19"/>
    <mergeCell ref="A20:C21"/>
    <mergeCell ref="F20:F23"/>
    <mergeCell ref="A22:C23"/>
    <mergeCell ref="D23:E23"/>
    <mergeCell ref="F24:F26"/>
    <mergeCell ref="A32:C32"/>
    <mergeCell ref="D32:E32"/>
    <mergeCell ref="A33:C33"/>
    <mergeCell ref="D33:E33"/>
    <mergeCell ref="A34:C34"/>
    <mergeCell ref="D34:E34"/>
    <mergeCell ref="A35:C35"/>
    <mergeCell ref="D35:E35"/>
    <mergeCell ref="A27:C29"/>
    <mergeCell ref="D27:E27"/>
    <mergeCell ref="F27:F35"/>
    <mergeCell ref="D28:E28"/>
    <mergeCell ref="A30:C30"/>
    <mergeCell ref="A31:C31"/>
    <mergeCell ref="D31:E31"/>
    <mergeCell ref="I4:J4"/>
    <mergeCell ref="K4:L4"/>
    <mergeCell ref="I5:J5"/>
    <mergeCell ref="K5:L5"/>
    <mergeCell ref="C1:H3"/>
    <mergeCell ref="I1:J1"/>
    <mergeCell ref="I2:J2"/>
    <mergeCell ref="K2:L2"/>
    <mergeCell ref="I3:J3"/>
    <mergeCell ref="K3:L3"/>
    <mergeCell ref="A4:H5"/>
    <mergeCell ref="I9:J9"/>
    <mergeCell ref="K9:L9"/>
    <mergeCell ref="C6:H8"/>
    <mergeCell ref="I6:J6"/>
    <mergeCell ref="I7:J7"/>
    <mergeCell ref="K7:L7"/>
    <mergeCell ref="I8:J8"/>
    <mergeCell ref="K8:L8"/>
    <mergeCell ref="A9:H10"/>
    <mergeCell ref="I10:J10"/>
    <mergeCell ref="K10:L10"/>
    <mergeCell ref="E12:H13"/>
    <mergeCell ref="A16:E16"/>
    <mergeCell ref="A17:C17"/>
    <mergeCell ref="D17:E17"/>
    <mergeCell ref="F17:F19"/>
    <mergeCell ref="A26:C26"/>
    <mergeCell ref="D26:E26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2020-01-28T13:46:16Z</dcterms:created>
  <dc:creator>William Silva/ITEMM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0x01010092958B3E5A666645AA7B661AA5720215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  <property fmtid="{D5CDD505-2E9C-101B-9397-08002B2CF9AE}" pid="7" name="SV_QUERY_LIST_4F35BF76-6C0D-4D9B-82B2-816C12CF3733">
    <vt:lpwstr>empty_477D106A-C0D6-4607-AEBD-E2C9D60EA279</vt:lpwstr>
  </property>
  <property fmtid="{D5CDD505-2E9C-101B-9397-08002B2CF9AE}" pid="8" name="SV_HIDDEN_GRID_QUERY_LIST_4F35BF76-6C0D-4D9B-82B2-816C12CF3733">
    <vt:lpwstr>empty_477D106A-C0D6-4607-AEBD-E2C9D60EA279</vt:lpwstr>
  </property>
</Properties>
</file>